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de Financement" sheetId="1" r:id="rId5"/>
    <sheet state="visible" name="Devis construction" sheetId="2" r:id="rId6"/>
    <sheet state="visible" name="Construction details" sheetId="3" r:id="rId7"/>
    <sheet state="visible" name="depense_bande1" sheetId="4" r:id="rId8"/>
    <sheet state="visible" name="Vente_bande1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tc={557975e1-a66b-4052-9d13-ee6f7ebe52e1}</author>
    <author>tc={9c779257-92b7-4e71-a320-ab87029d94d7}</author>
    <author>tc={f3627de0-5777-4089-a859-be311c5baf60}</author>
  </authors>
  <commentList>
    <comment authorId="0" ref="D23">
      <text>
        <t xml:space="preserve">dedommagement afin de couper un arbre present sur le terrain de la vendeuse mais qui pourrait menacer la securite du batiment</t>
      </text>
    </comment>
    <comment authorId="1" xr:uid="{557975e1-a66b-4052-9d13-ee6f7ebe52e1}" ref="D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Transport de ..??
</t>
      </text>
    </comment>
    <comment authorId="2" xr:uid="{9c779257-92b7-4e71-a320-ab87029d94d7}" ref="D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papa ne peut pas detailler exactement comment les depenses ci ont été faites
</t>
      </text>
    </comment>
    <comment authorId="3" xr:uid="{f3627de0-5777-4089-a859-be311c5baf60}" ref="D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Avance donné le 17.03 a papa pour acheter les materiaux tels que le ciment . seaux chantiers etc.. pour la construction des dependances
</t>
      </text>
    </comment>
  </commentList>
</comments>
</file>

<file path=xl/sharedStrings.xml><?xml version="1.0" encoding="utf-8"?>
<sst xmlns="http://schemas.openxmlformats.org/spreadsheetml/2006/main" count="231" uniqueCount="153">
  <si>
    <t>Financement de la construction de la ferme</t>
  </si>
  <si>
    <t>Nom</t>
  </si>
  <si>
    <t>Montant</t>
  </si>
  <si>
    <t>Papa</t>
  </si>
  <si>
    <t>Maman</t>
  </si>
  <si>
    <t>Murielle</t>
  </si>
  <si>
    <t>Jeriel</t>
  </si>
  <si>
    <t>Total</t>
  </si>
  <si>
    <t xml:space="preserve">Batiment </t>
  </si>
  <si>
    <t>Devis estimee pour le materiel + main d oeuvre+ defrichage</t>
  </si>
  <si>
    <t>Puits amenage(Forage)</t>
  </si>
  <si>
    <t>Devis estimee pour le materiel + main d oeuvre</t>
  </si>
  <si>
    <t>Details</t>
  </si>
  <si>
    <t>Items</t>
  </si>
  <si>
    <t>quantite</t>
  </si>
  <si>
    <t>prix total</t>
  </si>
  <si>
    <t xml:space="preserve">Puits creuser </t>
  </si>
  <si>
    <t>Buses</t>
  </si>
  <si>
    <t>Chateau d eau</t>
  </si>
  <si>
    <t>electricte + plomberie</t>
  </si>
  <si>
    <t xml:space="preserve">Carburant </t>
  </si>
  <si>
    <t>Total estimees des depenses</t>
  </si>
  <si>
    <t>Barriere</t>
  </si>
  <si>
    <t>2.500.000 - 2.800.000</t>
  </si>
  <si>
    <t>Total en caisse pour la construction</t>
  </si>
  <si>
    <t>Total depensé</t>
  </si>
  <si>
    <t xml:space="preserve">Reste actuelle en caisse </t>
  </si>
  <si>
    <t xml:space="preserve">Sorties carburant </t>
  </si>
  <si>
    <t>Sorties Argent</t>
  </si>
  <si>
    <t xml:space="preserve">Date </t>
  </si>
  <si>
    <t>Décaissé</t>
  </si>
  <si>
    <t>Depensé</t>
  </si>
  <si>
    <t>Reste</t>
  </si>
  <si>
    <t>Puits amenage</t>
  </si>
  <si>
    <t>prix unitaire</t>
  </si>
  <si>
    <t>??</t>
  </si>
  <si>
    <t>Achats de planches</t>
  </si>
  <si>
    <t>Avance main d'oeuvre</t>
  </si>
  <si>
    <t>Defrichage</t>
  </si>
  <si>
    <t>Flash Band de 10 Detail</t>
  </si>
  <si>
    <t xml:space="preserve">Creusage fouille bâtiment principal </t>
  </si>
  <si>
    <t>Devis batiment</t>
  </si>
  <si>
    <t xml:space="preserve">tonnes de graviers 5/15 </t>
  </si>
  <si>
    <t>Corde</t>
  </si>
  <si>
    <t>tonnes de sable carriere</t>
  </si>
  <si>
    <t>Buse</t>
  </si>
  <si>
    <t>Transports sables + Taxe</t>
  </si>
  <si>
    <t>Transports graviers + Taxe</t>
  </si>
  <si>
    <t>Carburant</t>
  </si>
  <si>
    <t xml:space="preserve">Boissons </t>
  </si>
  <si>
    <t>Coupage de bois</t>
  </si>
  <si>
    <t>Creusage fouille annexe</t>
  </si>
  <si>
    <t>mois location chambre pour le materiel</t>
  </si>
  <si>
    <t>cubitenaire d'eau</t>
  </si>
  <si>
    <t>location cubitenaire d'eau</t>
  </si>
  <si>
    <t>dedommage decoupage arbre</t>
  </si>
  <si>
    <t>????</t>
  </si>
  <si>
    <t>Vorschuss Materiau de construction</t>
  </si>
  <si>
    <t>Sac de ciment</t>
  </si>
  <si>
    <t>barre de fer de 6 + barre de fer de 8</t>
  </si>
  <si>
    <t>2 + 2</t>
  </si>
  <si>
    <t>parpaing</t>
  </si>
  <si>
    <t>Dette parpaing</t>
  </si>
  <si>
    <t>Main d'oeuvre</t>
  </si>
  <si>
    <t>Dejeuner</t>
  </si>
  <si>
    <t>Garage</t>
  </si>
  <si>
    <t>Location chambre</t>
  </si>
  <si>
    <t>dejeuner</t>
  </si>
  <si>
    <t>parpaings</t>
  </si>
  <si>
    <t>fers de 8</t>
  </si>
  <si>
    <t>sac de ciment</t>
  </si>
  <si>
    <t>pelle ronde</t>
  </si>
  <si>
    <t>fil d'attache</t>
  </si>
  <si>
    <t>cadres + striers</t>
  </si>
  <si>
    <t>carburant</t>
  </si>
  <si>
    <t>fer de 8</t>
  </si>
  <si>
    <t>2eme versement eau</t>
  </si>
  <si>
    <t>fer de 6</t>
  </si>
  <si>
    <t>manche pioche</t>
  </si>
  <si>
    <t>parpaings de 12</t>
  </si>
  <si>
    <t>transport</t>
  </si>
  <si>
    <t>ciment</t>
  </si>
  <si>
    <t>Depense + Transport</t>
  </si>
  <si>
    <t xml:space="preserve"> sacs de ciment</t>
  </si>
  <si>
    <t>fil dattache</t>
  </si>
  <si>
    <t>parpains de 12</t>
  </si>
  <si>
    <t xml:space="preserve">transport </t>
  </si>
  <si>
    <t>main d'oeuvre</t>
  </si>
  <si>
    <t>garage</t>
  </si>
  <si>
    <t>Montant de depart</t>
  </si>
  <si>
    <t>Total nett apres dépense</t>
  </si>
  <si>
    <t>Nombres de sacs d aliments</t>
  </si>
  <si>
    <t>Nombre de sacs de concentre</t>
  </si>
  <si>
    <t>Désignation</t>
  </si>
  <si>
    <t>Quantité</t>
  </si>
  <si>
    <t>Prix unitaire</t>
  </si>
  <si>
    <t>Remarque</t>
  </si>
  <si>
    <t xml:space="preserve">Poussin 1 j                                                        </t>
  </si>
  <si>
    <t>Koppo</t>
  </si>
  <si>
    <t>Bois</t>
  </si>
  <si>
    <t>Desinfectant</t>
  </si>
  <si>
    <t>Pointes</t>
  </si>
  <si>
    <t>Aliments</t>
  </si>
  <si>
    <t>Concentre</t>
  </si>
  <si>
    <t>Police</t>
  </si>
  <si>
    <t>lait</t>
  </si>
  <si>
    <t>Poulets</t>
  </si>
  <si>
    <t>Medicaments</t>
  </si>
  <si>
    <t>Carburant Mr Denis</t>
  </si>
  <si>
    <t>Aliments demarrage</t>
  </si>
  <si>
    <t>Vaccin</t>
  </si>
  <si>
    <t>Aliment demarrage</t>
  </si>
  <si>
    <t>Electricite</t>
  </si>
  <si>
    <t>Aliment croissance</t>
  </si>
  <si>
    <t>concentre</t>
  </si>
  <si>
    <t>compteur</t>
  </si>
  <si>
    <t>Marteau</t>
  </si>
  <si>
    <t>Fide</t>
  </si>
  <si>
    <t>Sacs vide</t>
  </si>
  <si>
    <t>Balance</t>
  </si>
  <si>
    <t>Aliment finitions</t>
  </si>
  <si>
    <t>Ampoules</t>
  </si>
  <si>
    <t>Aliments finition</t>
  </si>
  <si>
    <t>Salaire du mois de Fevrier</t>
  </si>
  <si>
    <t>Salaire du mois de mars</t>
  </si>
  <si>
    <t>Salaire ventes et tresoreries</t>
  </si>
  <si>
    <t>Mangeoires</t>
  </si>
  <si>
    <t>Complement aliment</t>
  </si>
  <si>
    <t>achat du batiment</t>
  </si>
  <si>
    <t>Valeur perdue de materiel fixe</t>
  </si>
  <si>
    <t>imprevu</t>
  </si>
  <si>
    <t>loyer</t>
  </si>
  <si>
    <t>coût de production</t>
  </si>
  <si>
    <t>Cout de production</t>
  </si>
  <si>
    <t>Jours</t>
  </si>
  <si>
    <t xml:space="preserve">              </t>
  </si>
  <si>
    <t>Sujet de depart</t>
  </si>
  <si>
    <t>nombre de deces</t>
  </si>
  <si>
    <t>Sujets suppose reste a la ferme</t>
  </si>
  <si>
    <t>Manquant</t>
  </si>
  <si>
    <t>depenses liees a la vente</t>
  </si>
  <si>
    <t>Sanitaire</t>
  </si>
  <si>
    <t>ticket</t>
  </si>
  <si>
    <t>dejeuner pour la vente</t>
  </si>
  <si>
    <t>garderie + lavage voiture</t>
  </si>
  <si>
    <t>police</t>
  </si>
  <si>
    <t>mairie</t>
  </si>
  <si>
    <t>reparation vehicule</t>
  </si>
  <si>
    <t>depenses  bande 1</t>
  </si>
  <si>
    <t>depenses  bande 1 + charge fixe</t>
  </si>
  <si>
    <t>Benefices estimes sans charge</t>
  </si>
  <si>
    <t>Benefices estimes avec charge</t>
  </si>
  <si>
    <t>Net en caisse apres cette bande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</si>
</sst>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\ [$CFA-300C]"/>
    <numFmt numFmtId="165" formatCode="[$FCFA]#,##0"/>
    <numFmt numFmtId="166" formatCode="dd.mm.yyyy"/>
    <numFmt numFmtId="167" formatCode="[$FCFA]#,##0.0"/>
  </numFmts>
  <fonts count="11">
    <font>
      <sz val="10.0"/>
      <color rgb="FF000000"/>
      <name val="Arial"/>
      <scheme val="minor"/>
    </font>
    <font>
      <sz val="11.0"/>
      <color rgb="FFFFFFFF"/>
      <name val="Calibri"/>
    </font>
    <font/>
    <font>
      <sz val="11.0"/>
      <color theme="1"/>
      <name val="Calibri"/>
    </font>
    <font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1.0"/>
      <color theme="1"/>
      <name val="Calibri"/>
    </font>
    <font>
      <b/>
      <sz val="11.0"/>
      <color rgb="FFFFFFFF"/>
      <name val="Bahnschrift"/>
    </font>
    <font>
      <b/>
      <sz val="11.0"/>
      <color rgb="FFFFFF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548135"/>
        <bgColor rgb="FF548135"/>
      </patternFill>
    </fill>
    <fill>
      <patternFill patternType="solid">
        <fgColor rgb="FF4472C4"/>
        <bgColor rgb="FF4472C4"/>
      </patternFill>
    </fill>
    <fill>
      <patternFill patternType="solid">
        <fgColor rgb="FF00FFFF"/>
        <bgColor rgb="FF00FFFF"/>
      </patternFill>
    </fill>
    <fill>
      <patternFill patternType="solid">
        <fgColor rgb="FF00B050"/>
        <bgColor rgb="FF00B050"/>
      </patternFill>
    </fill>
  </fills>
  <borders count="2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0" fontId="2" numFmtId="0" xfId="0" applyBorder="1" applyFont="1"/>
    <xf borderId="0" fillId="0" fontId="3" numFmtId="0" xfId="0" applyAlignment="1" applyFont="1">
      <alignment vertical="bottom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readingOrder="0" vertical="bottom"/>
    </xf>
    <xf borderId="3" fillId="0" fontId="3" numFmtId="164" xfId="0" applyAlignment="1" applyBorder="1" applyFont="1" applyNumberForma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3" fillId="2" fontId="1" numFmtId="0" xfId="0" applyAlignment="1" applyBorder="1" applyFont="1">
      <alignment vertical="bottom"/>
    </xf>
    <xf borderId="4" fillId="2" fontId="1" numFmtId="164" xfId="0" applyAlignment="1" applyBorder="1" applyFont="1" applyNumberFormat="1">
      <alignment vertical="bottom"/>
    </xf>
    <xf borderId="0" fillId="0" fontId="4" numFmtId="0" xfId="0" applyFont="1"/>
    <xf borderId="0" fillId="0" fontId="5" numFmtId="0" xfId="0" applyAlignment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5" numFmtId="0" xfId="0" applyAlignment="1" applyBorder="1" applyFont="1">
      <alignment horizontal="center" readingOrder="0"/>
    </xf>
    <xf borderId="9" fillId="0" fontId="2" numFmtId="0" xfId="0" applyBorder="1" applyFont="1"/>
    <xf borderId="9" fillId="0" fontId="5" numFmtId="165" xfId="0" applyAlignment="1" applyBorder="1" applyFont="1" applyNumberFormat="1">
      <alignment horizontal="center" readingOrder="0"/>
    </xf>
    <xf borderId="10" fillId="0" fontId="5" numFmtId="0" xfId="0" applyAlignment="1" applyBorder="1" applyFont="1">
      <alignment horizontal="center" readingOrder="0"/>
    </xf>
    <xf borderId="11" fillId="0" fontId="2" numFmtId="0" xfId="0" applyBorder="1" applyFont="1"/>
    <xf borderId="12" fillId="0" fontId="6" numFmtId="0" xfId="0" applyAlignment="1" applyBorder="1" applyFont="1">
      <alignment readingOrder="0"/>
    </xf>
    <xf borderId="12" fillId="0" fontId="6" numFmtId="165" xfId="0" applyAlignment="1" applyBorder="1" applyFont="1" applyNumberFormat="1">
      <alignment readingOrder="0"/>
    </xf>
    <xf borderId="12" fillId="0" fontId="6" numFmtId="0" xfId="0" applyBorder="1" applyFont="1"/>
    <xf borderId="12" fillId="0" fontId="6" numFmtId="165" xfId="0" applyBorder="1" applyFont="1" applyNumberFormat="1"/>
    <xf borderId="12" fillId="3" fontId="6" numFmtId="165" xfId="0" applyBorder="1" applyFill="1" applyFont="1" applyNumberFormat="1"/>
    <xf borderId="0" fillId="4" fontId="5" numFmtId="0" xfId="0" applyAlignment="1" applyFill="1" applyFont="1">
      <alignment readingOrder="0"/>
    </xf>
    <xf borderId="0" fillId="4" fontId="5" numFmtId="0" xfId="0" applyFont="1"/>
    <xf borderId="0" fillId="4" fontId="6" numFmtId="0" xfId="0" applyFont="1"/>
    <xf borderId="0" fillId="0" fontId="6" numFmtId="0" xfId="0" applyAlignment="1" applyFont="1">
      <alignment readingOrder="0"/>
    </xf>
    <xf borderId="12" fillId="3" fontId="5" numFmtId="165" xfId="0" applyAlignment="1" applyBorder="1" applyFont="1" applyNumberFormat="1">
      <alignment horizontal="center" readingOrder="0"/>
    </xf>
    <xf borderId="12" fillId="5" fontId="5" numFmtId="165" xfId="0" applyAlignment="1" applyBorder="1" applyFill="1" applyFont="1" applyNumberFormat="1">
      <alignment horizontal="center" readingOrder="0"/>
    </xf>
    <xf borderId="12" fillId="6" fontId="5" numFmtId="165" xfId="0" applyAlignment="1" applyBorder="1" applyFill="1" applyFont="1" applyNumberFormat="1">
      <alignment horizontal="center" readingOrder="0"/>
    </xf>
    <xf borderId="3" fillId="0" fontId="5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3" fillId="0" fontId="6" numFmtId="165" xfId="0" applyAlignment="1" applyBorder="1" applyFont="1" applyNumberFormat="1">
      <alignment horizontal="center" readingOrder="0"/>
    </xf>
    <xf borderId="3" fillId="0" fontId="6" numFmtId="166" xfId="0" applyAlignment="1" applyBorder="1" applyFont="1" applyNumberFormat="1">
      <alignment horizontal="center" readingOrder="0"/>
    </xf>
    <xf borderId="3" fillId="0" fontId="5" numFmtId="0" xfId="0" applyAlignment="1" applyBorder="1" applyFont="1">
      <alignment horizontal="center"/>
    </xf>
    <xf borderId="3" fillId="0" fontId="6" numFmtId="166" xfId="0" applyAlignment="1" applyBorder="1" applyFont="1" applyNumberFormat="1">
      <alignment horizontal="center" readingOrder="0"/>
    </xf>
    <xf borderId="3" fillId="0" fontId="6" numFmtId="0" xfId="0" applyAlignment="1" applyBorder="1" applyFont="1">
      <alignment horizontal="center" readingOrder="0"/>
    </xf>
    <xf borderId="3" fillId="0" fontId="5" numFmtId="165" xfId="0" applyAlignment="1" applyBorder="1" applyFont="1" applyNumberFormat="1">
      <alignment horizontal="center"/>
    </xf>
    <xf borderId="0" fillId="0" fontId="3" numFmtId="0" xfId="0" applyAlignment="1" applyFont="1">
      <alignment horizontal="center" readingOrder="0" vertical="bottom"/>
    </xf>
    <xf borderId="13" fillId="7" fontId="1" numFmtId="165" xfId="0" applyAlignment="1" applyBorder="1" applyFill="1" applyFont="1" applyNumberFormat="1">
      <alignment horizontal="right" vertical="bottom"/>
    </xf>
    <xf borderId="0" fillId="0" fontId="7" numFmtId="0" xfId="0" applyAlignment="1" applyFont="1">
      <alignment horizontal="center" vertical="bottom"/>
    </xf>
    <xf borderId="14" fillId="6" fontId="8" numFmtId="167" xfId="0" applyAlignment="1" applyBorder="1" applyFont="1" applyNumberFormat="1">
      <alignment horizontal="right" vertical="bottom"/>
    </xf>
    <xf borderId="0" fillId="4" fontId="3" numFmtId="0" xfId="0" applyAlignment="1" applyFont="1">
      <alignment vertical="bottom"/>
    </xf>
    <xf borderId="0" fillId="4" fontId="3" numFmtId="165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4" fontId="3" numFmtId="0" xfId="0" applyAlignment="1" applyFont="1">
      <alignment readingOrder="0" vertical="bottom"/>
    </xf>
    <xf borderId="15" fillId="2" fontId="9" numFmtId="0" xfId="0" applyAlignment="1" applyBorder="1" applyFont="1">
      <alignment vertical="bottom"/>
    </xf>
    <xf borderId="16" fillId="2" fontId="9" numFmtId="0" xfId="0" applyAlignment="1" applyBorder="1" applyFont="1">
      <alignment vertical="bottom"/>
    </xf>
    <xf borderId="0" fillId="2" fontId="1" numFmtId="0" xfId="0" applyAlignment="1" applyFont="1">
      <alignment vertical="bottom"/>
    </xf>
    <xf borderId="15" fillId="0" fontId="3" numFmtId="0" xfId="0" applyAlignment="1" applyBorder="1" applyFont="1">
      <alignment vertical="bottom"/>
    </xf>
    <xf borderId="17" fillId="4" fontId="3" numFmtId="0" xfId="0" applyAlignment="1" applyBorder="1" applyFont="1">
      <alignment horizontal="right" readingOrder="0" vertical="bottom"/>
    </xf>
    <xf borderId="17" fillId="0" fontId="3" numFmtId="165" xfId="0" applyAlignment="1" applyBorder="1" applyFont="1" applyNumberFormat="1">
      <alignment horizontal="right" readingOrder="0" vertical="bottom"/>
    </xf>
    <xf borderId="17" fillId="4" fontId="3" numFmtId="165" xfId="0" applyAlignment="1" applyBorder="1" applyFont="1" applyNumberFormat="1">
      <alignment horizontal="right" vertical="bottom"/>
    </xf>
    <xf borderId="3" fillId="4" fontId="3" numFmtId="0" xfId="0" applyAlignment="1" applyBorder="1" applyFont="1">
      <alignment vertical="bottom"/>
    </xf>
    <xf borderId="15" fillId="0" fontId="3" numFmtId="0" xfId="0" applyAlignment="1" applyBorder="1" applyFont="1">
      <alignment readingOrder="0" vertical="bottom"/>
    </xf>
    <xf borderId="17" fillId="4" fontId="3" numFmtId="0" xfId="0" applyAlignment="1" applyBorder="1" applyFont="1">
      <alignment horizontal="right" vertical="bottom"/>
    </xf>
    <xf borderId="15" fillId="4" fontId="3" numFmtId="0" xfId="0" applyAlignment="1" applyBorder="1" applyFont="1">
      <alignment readingOrder="0" vertical="bottom"/>
    </xf>
    <xf borderId="17" fillId="4" fontId="3" numFmtId="165" xfId="0" applyAlignment="1" applyBorder="1" applyFont="1" applyNumberFormat="1">
      <alignment horizontal="right" readingOrder="0" vertical="bottom"/>
    </xf>
    <xf borderId="17" fillId="0" fontId="3" numFmtId="0" xfId="0" applyAlignment="1" applyBorder="1" applyFont="1">
      <alignment horizontal="right" readingOrder="0" vertical="bottom"/>
    </xf>
    <xf borderId="1" fillId="8" fontId="3" numFmtId="0" xfId="0" applyAlignment="1" applyBorder="1" applyFill="1" applyFont="1">
      <alignment vertical="bottom"/>
    </xf>
    <xf borderId="18" fillId="0" fontId="2" numFmtId="0" xfId="0" applyBorder="1" applyFont="1"/>
    <xf borderId="19" fillId="6" fontId="3" numFmtId="165" xfId="0" applyAlignment="1" applyBorder="1" applyFont="1" applyNumberFormat="1">
      <alignment horizontal="right" vertical="bottom"/>
    </xf>
    <xf borderId="0" fillId="9" fontId="3" numFmtId="0" xfId="0" applyAlignment="1" applyFill="1" applyFont="1">
      <alignment vertical="bottom"/>
    </xf>
    <xf borderId="0" fillId="9" fontId="3" numFmtId="165" xfId="0" applyAlignment="1" applyFont="1" applyNumberFormat="1">
      <alignment horizontal="right" vertical="bottom"/>
    </xf>
    <xf borderId="3" fillId="0" fontId="3" numFmtId="10" xfId="0" applyAlignment="1" applyBorder="1" applyFont="1" applyNumberFormat="1">
      <alignment horizontal="right" vertical="bottom"/>
    </xf>
    <xf borderId="3" fillId="0" fontId="3" numFmtId="4" xfId="0" applyAlignment="1" applyBorder="1" applyFont="1" applyNumberFormat="1">
      <alignment horizontal="right" vertical="bottom"/>
    </xf>
    <xf borderId="3" fillId="0" fontId="3" numFmtId="0" xfId="0" applyAlignment="1" applyBorder="1" applyFon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3" numFmtId="4" xfId="0" applyAlignment="1" applyFont="1" applyNumberFormat="1">
      <alignment horizontal="right" vertical="bottom"/>
    </xf>
    <xf borderId="20" fillId="6" fontId="3" numFmtId="4" xfId="0" applyAlignment="1" applyBorder="1" applyFont="1" applyNumberFormat="1">
      <alignment horizontal="right" vertical="bottom"/>
    </xf>
    <xf borderId="3" fillId="2" fontId="10" numFmtId="0" xfId="0" applyAlignment="1" applyBorder="1" applyFont="1">
      <alignment vertical="bottom"/>
    </xf>
    <xf borderId="21" fillId="2" fontId="9" numFmtId="0" xfId="0" applyAlignment="1" applyBorder="1" applyFont="1">
      <alignment vertical="bottom"/>
    </xf>
    <xf borderId="21" fillId="2" fontId="9" numFmtId="165" xfId="0" applyAlignment="1" applyBorder="1" applyFont="1" applyNumberFormat="1">
      <alignment vertical="bottom"/>
    </xf>
    <xf borderId="3" fillId="4" fontId="3" numFmtId="0" xfId="0" applyAlignment="1" applyBorder="1" applyFont="1">
      <alignment horizontal="right" vertical="bottom"/>
    </xf>
    <xf borderId="3" fillId="4" fontId="3" numFmtId="165" xfId="0" applyAlignment="1" applyBorder="1" applyFont="1" applyNumberFormat="1">
      <alignment horizontal="right" vertical="bottom"/>
    </xf>
    <xf borderId="3" fillId="4" fontId="3" numFmtId="165" xfId="0" applyAlignment="1" applyBorder="1" applyFont="1" applyNumberFormat="1">
      <alignment vertical="bottom"/>
    </xf>
    <xf borderId="3" fillId="10" fontId="3" numFmtId="0" xfId="0" applyAlignment="1" applyBorder="1" applyFill="1" applyFont="1">
      <alignment vertical="bottom"/>
    </xf>
    <xf borderId="3" fillId="10" fontId="3" numFmtId="165" xfId="0" applyAlignment="1" applyBorder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4" fontId="3" numFmtId="165" xfId="0" applyAlignment="1" applyFont="1" applyNumberFormat="1">
      <alignment vertical="bottom"/>
    </xf>
    <xf borderId="0" fillId="6" fontId="3" numFmtId="0" xfId="0" applyAlignment="1" applyFont="1">
      <alignment horizontal="right" vertical="bottom"/>
    </xf>
    <xf borderId="0" fillId="0" fontId="3" numFmtId="49" xfId="0" applyAlignment="1" applyFont="1" applyNumberFormat="1">
      <alignment vertical="bottom"/>
    </xf>
    <xf borderId="0" fillId="6" fontId="3" numFmtId="0" xfId="0" applyAlignment="1" applyFont="1">
      <alignment vertical="bottom"/>
    </xf>
    <xf borderId="3" fillId="2" fontId="9" numFmtId="0" xfId="0" applyAlignment="1" applyBorder="1" applyFont="1">
      <alignment vertical="bottom"/>
    </xf>
    <xf borderId="17" fillId="0" fontId="3" numFmtId="0" xfId="0" applyAlignment="1" applyBorder="1" applyFont="1">
      <alignment horizontal="right" vertical="bottom"/>
    </xf>
    <xf borderId="17" fillId="0" fontId="3" numFmtId="165" xfId="0" applyAlignment="1" applyBorder="1" applyFont="1" applyNumberFormat="1">
      <alignment horizontal="right" vertical="bottom"/>
    </xf>
    <xf borderId="0" fillId="6" fontId="3" numFmtId="167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167" xfId="0" applyAlignment="1" applyFont="1" applyNumberFormat="1">
      <alignment horizontal="right" vertical="bottom"/>
    </xf>
    <xf borderId="0" fillId="3" fontId="3" numFmtId="167" xfId="0" applyAlignment="1" applyFont="1" applyNumberFormat="1">
      <alignment horizontal="right" vertical="bottom"/>
    </xf>
    <xf borderId="0" fillId="0" fontId="3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eriel Mbiedou" id="{8e857184-a453-44b6-97a7-ecf1216f62b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69" dT="2026-04-07T14:14:35.00" personId="{8e857184-a453-44b6-97a7-ecf1216f62b6}" id="{557975e1-a66b-4052-9d13-ee6f7ebe52e1}" done="0">
    <x18tc:text xml:space="preserve">Transport de ..??</x18tc:text>
  </x18tc:threadedComment>
  <x18tc:threadedComment ref="D25" dT="2026-03-17T07:19:13.00" personId="{8e857184-a453-44b6-97a7-ecf1216f62b6}" id="{9c779257-92b7-4e71-a320-ab87029d94d7}" done="0">
    <x18tc:text xml:space="preserve">papa ne peut pas detailler exactement comment les depenses ci ont été faites</x18tc:text>
  </x18tc:threadedComment>
  <x18tc:threadedComment ref="D26" dT="2026-03-17T07:19:59.00" personId="{8e857184-a453-44b6-97a7-ecf1216f62b6}" id="{f3627de0-5777-4089-a859-be311c5baf60}" done="0">
    <x18tc:text xml:space="preserve">Avance donné le 17.03 a papa pour acheter les materiaux tels que le ciment . seaux chantiers etc.. pour la construction des dependances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6.0"/>
  </cols>
  <sheetData>
    <row r="1">
      <c r="A1" s="1" t="s">
        <v>0</v>
      </c>
      <c r="B1" s="2"/>
      <c r="C1" s="3"/>
      <c r="D1" s="3"/>
      <c r="E1" s="3"/>
      <c r="F1" s="3"/>
    </row>
    <row r="2">
      <c r="A2" s="4" t="s">
        <v>1</v>
      </c>
      <c r="B2" s="4" t="s">
        <v>2</v>
      </c>
      <c r="C2" s="3"/>
      <c r="D2" s="3"/>
      <c r="E2" s="3"/>
      <c r="F2" s="3"/>
    </row>
    <row r="3">
      <c r="A3" s="5" t="s">
        <v>3</v>
      </c>
      <c r="B3" s="6">
        <v>600000.0</v>
      </c>
      <c r="C3" s="7"/>
      <c r="D3" s="8"/>
      <c r="E3" s="8"/>
      <c r="F3" s="9"/>
    </row>
    <row r="4">
      <c r="A4" s="5" t="s">
        <v>4</v>
      </c>
      <c r="B4" s="6">
        <v>1500000.0</v>
      </c>
      <c r="C4" s="7"/>
      <c r="D4" s="8"/>
      <c r="E4" s="8"/>
      <c r="F4" s="9"/>
    </row>
    <row r="5">
      <c r="A5" s="5" t="s">
        <v>5</v>
      </c>
      <c r="B5" s="6">
        <v>1200000.0</v>
      </c>
      <c r="C5" s="7"/>
      <c r="D5" s="8"/>
      <c r="E5" s="8"/>
      <c r="F5" s="9"/>
    </row>
    <row r="6" ht="20.25" customHeight="1">
      <c r="A6" s="5" t="s">
        <v>6</v>
      </c>
      <c r="B6" s="6">
        <v>1800000.0</v>
      </c>
      <c r="C6" s="7"/>
      <c r="D6" s="8"/>
      <c r="E6" s="8"/>
      <c r="F6" s="9"/>
    </row>
    <row r="7">
      <c r="A7" s="10" t="s">
        <v>7</v>
      </c>
      <c r="B7" s="11">
        <f>SUM(B3:B6)</f>
        <v>5100000</v>
      </c>
      <c r="C7" s="3"/>
      <c r="D7" s="8"/>
      <c r="E7" s="8"/>
      <c r="F7" s="9"/>
    </row>
    <row r="8">
      <c r="A8" s="3"/>
      <c r="B8" s="8"/>
      <c r="C8" s="3"/>
      <c r="D8" s="3"/>
      <c r="E8" s="3"/>
      <c r="F8" s="3"/>
    </row>
    <row r="12">
      <c r="D12" s="12"/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23.63"/>
    <col customWidth="1" min="3" max="3" width="22.13"/>
  </cols>
  <sheetData>
    <row r="1">
      <c r="A1" s="13"/>
      <c r="B1" s="13"/>
      <c r="C1" s="13"/>
    </row>
    <row r="2">
      <c r="A2" s="14" t="s">
        <v>8</v>
      </c>
      <c r="B2" s="15"/>
      <c r="C2" s="16"/>
    </row>
    <row r="3">
      <c r="A3" s="17" t="s">
        <v>9</v>
      </c>
      <c r="B3" s="18"/>
      <c r="C3" s="19">
        <v>3525000.0</v>
      </c>
    </row>
    <row r="5">
      <c r="A5" s="13"/>
      <c r="B5" s="13"/>
      <c r="C5" s="13"/>
    </row>
    <row r="6">
      <c r="A6" s="13"/>
      <c r="B6" s="13"/>
      <c r="C6" s="13"/>
    </row>
    <row r="7">
      <c r="A7" s="13"/>
      <c r="B7" s="13"/>
      <c r="C7" s="13"/>
    </row>
    <row r="8">
      <c r="A8" s="14" t="s">
        <v>10</v>
      </c>
      <c r="B8" s="15"/>
      <c r="C8" s="16"/>
    </row>
    <row r="9">
      <c r="A9" s="17" t="s">
        <v>11</v>
      </c>
      <c r="B9" s="18"/>
      <c r="C9" s="19">
        <f>C16</f>
        <v>1370000</v>
      </c>
    </row>
    <row r="10">
      <c r="A10" s="20" t="s">
        <v>12</v>
      </c>
      <c r="C10" s="21"/>
    </row>
    <row r="11">
      <c r="A11" s="22" t="s">
        <v>13</v>
      </c>
      <c r="B11" s="22" t="s">
        <v>14</v>
      </c>
      <c r="C11" s="22" t="s">
        <v>15</v>
      </c>
    </row>
    <row r="12">
      <c r="A12" s="22" t="s">
        <v>16</v>
      </c>
      <c r="B12" s="22">
        <v>1.0</v>
      </c>
      <c r="C12" s="23">
        <v>350000.0</v>
      </c>
    </row>
    <row r="13">
      <c r="A13" s="22" t="s">
        <v>17</v>
      </c>
      <c r="B13" s="22">
        <v>1.0</v>
      </c>
      <c r="C13" s="23">
        <v>620000.0</v>
      </c>
    </row>
    <row r="14">
      <c r="A14" s="22" t="s">
        <v>18</v>
      </c>
      <c r="B14" s="22">
        <v>1.0</v>
      </c>
      <c r="C14" s="23">
        <v>300000.0</v>
      </c>
    </row>
    <row r="15">
      <c r="A15" s="22" t="s">
        <v>19</v>
      </c>
      <c r="B15" s="22">
        <v>1.0</v>
      </c>
      <c r="C15" s="23">
        <v>100000.0</v>
      </c>
    </row>
    <row r="16">
      <c r="A16" s="22" t="s">
        <v>7</v>
      </c>
      <c r="B16" s="24"/>
      <c r="C16" s="25">
        <f>SUM(C11:C15)</f>
        <v>1370000</v>
      </c>
    </row>
    <row r="21">
      <c r="A21" s="14" t="s">
        <v>20</v>
      </c>
      <c r="B21" s="15"/>
      <c r="C21" s="16"/>
    </row>
    <row r="22">
      <c r="A22" s="17" t="s">
        <v>11</v>
      </c>
      <c r="B22" s="18"/>
      <c r="C22" s="19">
        <v>150000.0</v>
      </c>
    </row>
    <row r="29">
      <c r="A29" s="22" t="s">
        <v>21</v>
      </c>
      <c r="B29" s="26">
        <f>C3+C9+C22</f>
        <v>5045000</v>
      </c>
    </row>
    <row r="31">
      <c r="A31" s="27"/>
      <c r="B31" s="28"/>
    </row>
    <row r="32">
      <c r="A32" s="29"/>
      <c r="B32" s="29"/>
    </row>
    <row r="33">
      <c r="A33" s="29"/>
      <c r="B33" s="29"/>
    </row>
    <row r="34">
      <c r="A34" s="29"/>
      <c r="B34" s="29"/>
    </row>
    <row r="35">
      <c r="A35" s="29"/>
      <c r="B35" s="29"/>
    </row>
    <row r="36">
      <c r="A36" s="29"/>
      <c r="B36" s="29"/>
    </row>
    <row r="37">
      <c r="A37" s="29"/>
      <c r="B37" s="29"/>
    </row>
    <row r="38">
      <c r="A38" s="29"/>
      <c r="B38" s="29"/>
    </row>
    <row r="39">
      <c r="A39" s="29"/>
      <c r="B39" s="29"/>
    </row>
    <row r="40">
      <c r="A40" s="29"/>
      <c r="B40" s="29"/>
    </row>
    <row r="41">
      <c r="A41" s="29"/>
      <c r="B41" s="29"/>
    </row>
    <row r="42">
      <c r="A42" s="29"/>
      <c r="B42" s="29"/>
    </row>
    <row r="44">
      <c r="A44" s="30" t="s">
        <v>22</v>
      </c>
      <c r="B44" s="30" t="s">
        <v>23</v>
      </c>
    </row>
  </sheetData>
  <mergeCells count="7">
    <mergeCell ref="A2:C2"/>
    <mergeCell ref="A3:B3"/>
    <mergeCell ref="A8:C8"/>
    <mergeCell ref="A9:B9"/>
    <mergeCell ref="A10:C10"/>
    <mergeCell ref="A21:C21"/>
    <mergeCell ref="A22:B2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3" width="19.75"/>
    <col customWidth="1" min="4" max="4" width="19.63"/>
    <col customWidth="1" min="14" max="14" width="19.38"/>
    <col customWidth="1" min="19" max="19" width="18.88"/>
  </cols>
  <sheetData>
    <row r="1">
      <c r="A1" s="14" t="s">
        <v>24</v>
      </c>
      <c r="B1" s="15"/>
      <c r="C1" s="16"/>
      <c r="D1" s="31">
        <f>'Devis construction'!B29</f>
        <v>5045000</v>
      </c>
    </row>
    <row r="2">
      <c r="A2" s="14" t="s">
        <v>25</v>
      </c>
      <c r="B2" s="15"/>
      <c r="C2" s="16"/>
      <c r="D2" s="32">
        <f>D87+V24</f>
        <v>2424650</v>
      </c>
    </row>
    <row r="3">
      <c r="A3" s="14" t="s">
        <v>26</v>
      </c>
      <c r="B3" s="15"/>
      <c r="C3" s="16"/>
      <c r="D3" s="33">
        <f>D1-D87-V24</f>
        <v>2620350</v>
      </c>
    </row>
    <row r="4">
      <c r="A4" s="13"/>
      <c r="B4" s="13"/>
      <c r="C4" s="13"/>
      <c r="D4" s="13"/>
    </row>
    <row r="5">
      <c r="A5" s="13"/>
      <c r="B5" s="13"/>
      <c r="C5" s="13"/>
      <c r="D5" s="13"/>
      <c r="H5" s="13" t="s">
        <v>27</v>
      </c>
      <c r="K5" s="13" t="s">
        <v>28</v>
      </c>
    </row>
    <row r="6">
      <c r="A6" s="14" t="s">
        <v>8</v>
      </c>
      <c r="B6" s="15"/>
      <c r="C6" s="15"/>
      <c r="D6" s="15"/>
      <c r="E6" s="15"/>
      <c r="F6" s="16"/>
      <c r="H6" s="34" t="s">
        <v>29</v>
      </c>
      <c r="I6" s="34" t="s">
        <v>2</v>
      </c>
      <c r="K6" s="34" t="s">
        <v>29</v>
      </c>
      <c r="L6" s="34" t="s">
        <v>30</v>
      </c>
      <c r="M6" s="34" t="s">
        <v>31</v>
      </c>
      <c r="N6" s="34" t="s">
        <v>32</v>
      </c>
      <c r="S6" s="14" t="s">
        <v>33</v>
      </c>
      <c r="T6" s="15"/>
      <c r="U6" s="15"/>
      <c r="V6" s="16"/>
    </row>
    <row r="7">
      <c r="A7" s="22" t="s">
        <v>13</v>
      </c>
      <c r="B7" s="22" t="s">
        <v>14</v>
      </c>
      <c r="C7" s="22" t="s">
        <v>34</v>
      </c>
      <c r="D7" s="22" t="s">
        <v>15</v>
      </c>
      <c r="H7" s="35" t="s">
        <v>35</v>
      </c>
      <c r="I7" s="36">
        <v>15000.0</v>
      </c>
      <c r="K7" s="35" t="s">
        <v>35</v>
      </c>
      <c r="L7" s="36"/>
      <c r="M7" s="36"/>
      <c r="N7" s="36"/>
      <c r="S7" s="22" t="s">
        <v>13</v>
      </c>
      <c r="T7" s="22" t="s">
        <v>14</v>
      </c>
      <c r="U7" s="22" t="s">
        <v>34</v>
      </c>
      <c r="V7" s="22" t="s">
        <v>15</v>
      </c>
    </row>
    <row r="8">
      <c r="A8" s="22" t="s">
        <v>36</v>
      </c>
      <c r="B8" s="22">
        <v>1.0</v>
      </c>
      <c r="C8" s="23">
        <v>400000.0</v>
      </c>
      <c r="D8" s="23">
        <f t="shared" ref="D8:D9" si="1">B8*C8</f>
        <v>400000</v>
      </c>
      <c r="H8" s="37">
        <v>46098.0</v>
      </c>
      <c r="I8" s="36">
        <v>15000.0</v>
      </c>
      <c r="K8" s="37">
        <v>46098.0</v>
      </c>
      <c r="L8" s="36"/>
      <c r="M8" s="36"/>
      <c r="N8" s="36"/>
      <c r="S8" s="22" t="s">
        <v>37</v>
      </c>
      <c r="T8" s="22">
        <v>1.0</v>
      </c>
      <c r="U8" s="23">
        <v>50000.0</v>
      </c>
      <c r="V8" s="23">
        <v>50000.0</v>
      </c>
    </row>
    <row r="9">
      <c r="A9" s="22" t="s">
        <v>38</v>
      </c>
      <c r="B9" s="22">
        <v>1.0</v>
      </c>
      <c r="C9" s="23">
        <v>25000.0</v>
      </c>
      <c r="D9" s="23">
        <f t="shared" si="1"/>
        <v>25000</v>
      </c>
      <c r="H9" s="38"/>
      <c r="I9" s="38"/>
      <c r="K9" s="38"/>
      <c r="L9" s="38"/>
      <c r="M9" s="36"/>
      <c r="N9" s="36"/>
      <c r="S9" s="22" t="s">
        <v>39</v>
      </c>
      <c r="T9" s="22">
        <v>2.0</v>
      </c>
      <c r="U9" s="23">
        <v>1000.0</v>
      </c>
      <c r="V9" s="23">
        <v>2000.0</v>
      </c>
    </row>
    <row r="10">
      <c r="A10" s="22" t="s">
        <v>40</v>
      </c>
      <c r="B10" s="22">
        <v>1.0</v>
      </c>
      <c r="C10" s="23">
        <v>25000.0</v>
      </c>
      <c r="D10" s="23">
        <v>25000.0</v>
      </c>
      <c r="H10" s="38"/>
      <c r="I10" s="38"/>
      <c r="K10" s="38"/>
      <c r="L10" s="38"/>
      <c r="M10" s="36"/>
      <c r="N10" s="36"/>
      <c r="S10" s="22" t="s">
        <v>37</v>
      </c>
      <c r="T10" s="22">
        <v>1.0</v>
      </c>
      <c r="U10" s="23">
        <v>50000.0</v>
      </c>
      <c r="V10" s="23">
        <v>50000.0</v>
      </c>
    </row>
    <row r="11">
      <c r="A11" s="22" t="s">
        <v>41</v>
      </c>
      <c r="B11" s="22">
        <v>1.0</v>
      </c>
      <c r="C11" s="23">
        <v>10000.0</v>
      </c>
      <c r="D11" s="23">
        <v>10000.0</v>
      </c>
      <c r="H11" s="37">
        <v>46104.0</v>
      </c>
      <c r="I11" s="36">
        <v>10000.0</v>
      </c>
      <c r="K11" s="37">
        <v>46104.0</v>
      </c>
      <c r="L11" s="36">
        <v>120000.0</v>
      </c>
      <c r="M11" s="36">
        <v>76400.0</v>
      </c>
      <c r="N11" s="36">
        <v>43600.0</v>
      </c>
      <c r="S11" s="22" t="s">
        <v>37</v>
      </c>
      <c r="T11" s="22">
        <v>1.0</v>
      </c>
      <c r="U11" s="23">
        <v>50000.0</v>
      </c>
      <c r="V11" s="23">
        <v>50000.0</v>
      </c>
    </row>
    <row r="12">
      <c r="A12" s="22" t="s">
        <v>42</v>
      </c>
      <c r="B12" s="22">
        <v>21.0</v>
      </c>
      <c r="C12" s="23">
        <v>7500.0</v>
      </c>
      <c r="D12" s="23">
        <v>157500.0</v>
      </c>
      <c r="H12" s="38"/>
      <c r="I12" s="38"/>
      <c r="K12" s="37">
        <v>46105.0</v>
      </c>
      <c r="L12" s="36">
        <v>0.0</v>
      </c>
      <c r="M12" s="36">
        <v>36400.0</v>
      </c>
      <c r="N12" s="36">
        <v>7200.0</v>
      </c>
      <c r="S12" s="22" t="s">
        <v>43</v>
      </c>
      <c r="T12" s="24"/>
      <c r="U12" s="24"/>
      <c r="V12" s="22">
        <v>19000.0</v>
      </c>
    </row>
    <row r="13">
      <c r="A13" s="22" t="s">
        <v>44</v>
      </c>
      <c r="B13" s="22">
        <v>22.0</v>
      </c>
      <c r="C13" s="23">
        <v>5500.0</v>
      </c>
      <c r="D13" s="23">
        <v>121000.0</v>
      </c>
      <c r="H13" s="38"/>
      <c r="I13" s="38"/>
      <c r="K13" s="39">
        <v>46106.0</v>
      </c>
      <c r="L13" s="36">
        <v>200000.0</v>
      </c>
      <c r="M13" s="36">
        <v>182150.0</v>
      </c>
      <c r="N13" s="36">
        <v>25050.0</v>
      </c>
      <c r="S13" s="22" t="s">
        <v>45</v>
      </c>
      <c r="T13" s="22">
        <v>18.0</v>
      </c>
      <c r="U13" s="22">
        <v>13000.0</v>
      </c>
      <c r="V13" s="22">
        <v>234000.0</v>
      </c>
    </row>
    <row r="14">
      <c r="A14" s="22" t="s">
        <v>46</v>
      </c>
      <c r="B14" s="22">
        <v>1.0</v>
      </c>
      <c r="C14" s="23">
        <v>40000.0</v>
      </c>
      <c r="D14" s="23">
        <v>40000.0</v>
      </c>
      <c r="H14" s="38"/>
      <c r="I14" s="38"/>
      <c r="K14" s="39">
        <v>46107.0</v>
      </c>
      <c r="L14" s="36">
        <v>50000.0</v>
      </c>
      <c r="M14" s="36">
        <v>82350.0</v>
      </c>
      <c r="N14" s="36">
        <v>-7300.0</v>
      </c>
      <c r="S14" s="22" t="s">
        <v>37</v>
      </c>
      <c r="T14" s="24"/>
      <c r="U14" s="24"/>
      <c r="V14" s="22">
        <v>100000.0</v>
      </c>
    </row>
    <row r="15">
      <c r="A15" s="22" t="s">
        <v>47</v>
      </c>
      <c r="B15" s="22">
        <v>1.0</v>
      </c>
      <c r="C15" s="23">
        <v>40000.0</v>
      </c>
      <c r="D15" s="23">
        <v>40000.0</v>
      </c>
      <c r="H15" s="38"/>
      <c r="I15" s="38"/>
      <c r="K15" s="39">
        <v>46108.0</v>
      </c>
      <c r="L15" s="36">
        <v>50000.0</v>
      </c>
      <c r="M15" s="36">
        <v>45350.0</v>
      </c>
      <c r="N15" s="36">
        <v>-2650.0</v>
      </c>
      <c r="S15" s="24"/>
      <c r="T15" s="24"/>
      <c r="U15" s="24"/>
      <c r="V15" s="24"/>
    </row>
    <row r="16">
      <c r="A16" s="22" t="s">
        <v>48</v>
      </c>
      <c r="B16" s="24"/>
      <c r="C16" s="23">
        <v>15000.0</v>
      </c>
      <c r="D16" s="23">
        <v>15000.0</v>
      </c>
      <c r="H16" s="38"/>
      <c r="I16" s="38"/>
      <c r="K16" s="39">
        <v>46109.0</v>
      </c>
      <c r="L16" s="36">
        <v>180000.0</v>
      </c>
      <c r="M16" s="36">
        <v>177350.0</v>
      </c>
      <c r="N16" s="36">
        <v>53050.0</v>
      </c>
      <c r="S16" s="24"/>
      <c r="T16" s="24"/>
      <c r="U16" s="24"/>
      <c r="V16" s="24"/>
    </row>
    <row r="17">
      <c r="A17" s="22" t="s">
        <v>49</v>
      </c>
      <c r="B17" s="24"/>
      <c r="C17" s="23">
        <v>3700.0</v>
      </c>
      <c r="D17" s="23">
        <v>3700.0</v>
      </c>
      <c r="H17" s="38"/>
      <c r="I17" s="38"/>
      <c r="K17" s="39">
        <v>46110.0</v>
      </c>
      <c r="L17" s="36"/>
      <c r="M17" s="36">
        <v>23400.0</v>
      </c>
      <c r="N17" s="36">
        <v>29650.0</v>
      </c>
      <c r="S17" s="24"/>
      <c r="T17" s="24"/>
      <c r="U17" s="24"/>
      <c r="V17" s="24"/>
    </row>
    <row r="18">
      <c r="A18" s="22" t="s">
        <v>50</v>
      </c>
      <c r="B18" s="22">
        <v>1.0</v>
      </c>
      <c r="C18" s="23">
        <v>35000.0</v>
      </c>
      <c r="D18" s="23">
        <v>35000.0</v>
      </c>
      <c r="H18" s="38"/>
      <c r="I18" s="38"/>
      <c r="K18" s="39">
        <v>46113.0</v>
      </c>
      <c r="L18" s="36">
        <v>480000.0</v>
      </c>
      <c r="M18" s="36">
        <v>359000.0</v>
      </c>
      <c r="N18" s="36">
        <v>150650.0</v>
      </c>
      <c r="S18" s="24"/>
      <c r="T18" s="24"/>
      <c r="U18" s="24"/>
      <c r="V18" s="24"/>
    </row>
    <row r="19">
      <c r="A19" s="22" t="s">
        <v>51</v>
      </c>
      <c r="B19" s="22">
        <v>1.0</v>
      </c>
      <c r="C19" s="23">
        <v>15000.0</v>
      </c>
      <c r="D19" s="23">
        <v>15000.0</v>
      </c>
      <c r="H19" s="38"/>
      <c r="I19" s="38"/>
      <c r="K19" s="39">
        <v>46114.0</v>
      </c>
      <c r="L19" s="38"/>
      <c r="M19" s="36">
        <v>137000.0</v>
      </c>
      <c r="N19" s="36">
        <v>13650.0</v>
      </c>
      <c r="S19" s="24"/>
      <c r="T19" s="24"/>
      <c r="U19" s="24"/>
      <c r="V19" s="24"/>
    </row>
    <row r="20">
      <c r="A20" s="22" t="s">
        <v>52</v>
      </c>
      <c r="B20" s="22">
        <v>1.0</v>
      </c>
      <c r="C20" s="23">
        <v>5000.0</v>
      </c>
      <c r="D20" s="23">
        <v>5000.0</v>
      </c>
      <c r="H20" s="40"/>
      <c r="I20" s="38"/>
      <c r="K20" s="39">
        <v>46115.0</v>
      </c>
      <c r="L20" s="38"/>
      <c r="M20" s="36">
        <v>54900.0</v>
      </c>
      <c r="N20" s="36">
        <v>-41250.0</v>
      </c>
      <c r="S20" s="24"/>
      <c r="T20" s="24"/>
      <c r="U20" s="24"/>
      <c r="V20" s="24"/>
    </row>
    <row r="21">
      <c r="A21" s="22" t="s">
        <v>53</v>
      </c>
      <c r="B21" s="22">
        <v>1.0</v>
      </c>
      <c r="C21" s="23">
        <v>5000.0</v>
      </c>
      <c r="D21" s="23">
        <v>5000.0</v>
      </c>
      <c r="H21" s="40"/>
      <c r="I21" s="38"/>
      <c r="K21" s="40"/>
      <c r="L21" s="38"/>
      <c r="M21" s="36"/>
      <c r="N21" s="36"/>
      <c r="S21" s="24"/>
      <c r="T21" s="24"/>
      <c r="U21" s="24"/>
      <c r="V21" s="24"/>
    </row>
    <row r="22">
      <c r="A22" s="22" t="s">
        <v>54</v>
      </c>
      <c r="B22" s="22">
        <v>1.0</v>
      </c>
      <c r="C22" s="23">
        <v>2500.0</v>
      </c>
      <c r="D22" s="23">
        <v>2500.0</v>
      </c>
      <c r="H22" s="40"/>
      <c r="I22" s="38"/>
      <c r="K22" s="40"/>
      <c r="L22" s="38"/>
      <c r="M22" s="36"/>
      <c r="N22" s="36"/>
      <c r="S22" s="24"/>
      <c r="T22" s="24"/>
      <c r="U22" s="24"/>
      <c r="V22" s="24"/>
    </row>
    <row r="23">
      <c r="A23" s="22" t="s">
        <v>55</v>
      </c>
      <c r="B23" s="22">
        <v>1.0</v>
      </c>
      <c r="C23" s="23">
        <v>5000.0</v>
      </c>
      <c r="D23" s="23">
        <v>5000.0</v>
      </c>
      <c r="H23" s="40" t="s">
        <v>7</v>
      </c>
      <c r="I23" s="41">
        <f>SUM(I7:I19)</f>
        <v>40000</v>
      </c>
      <c r="K23" s="40" t="s">
        <v>7</v>
      </c>
      <c r="L23" s="41">
        <f>SUM(L7:L19)</f>
        <v>1080000</v>
      </c>
      <c r="M23" s="36"/>
      <c r="N23" s="36"/>
      <c r="S23" s="24"/>
      <c r="T23" s="24"/>
      <c r="U23" s="24"/>
      <c r="V23" s="24"/>
    </row>
    <row r="24">
      <c r="A24" s="22" t="s">
        <v>48</v>
      </c>
      <c r="B24" s="22">
        <v>1.0</v>
      </c>
      <c r="C24" s="23"/>
      <c r="D24" s="23">
        <v>15000.0</v>
      </c>
      <c r="S24" s="22" t="s">
        <v>7</v>
      </c>
      <c r="T24" s="24"/>
      <c r="U24" s="24"/>
      <c r="V24" s="25">
        <f>SUM(V7:V23)</f>
        <v>505000</v>
      </c>
    </row>
    <row r="25">
      <c r="A25" s="22" t="s">
        <v>56</v>
      </c>
      <c r="B25" s="22" t="s">
        <v>35</v>
      </c>
      <c r="C25" s="23" t="s">
        <v>35</v>
      </c>
      <c r="D25" s="23">
        <v>115000.0</v>
      </c>
    </row>
    <row r="26">
      <c r="A26" s="22" t="s">
        <v>57</v>
      </c>
      <c r="B26" s="22"/>
      <c r="C26" s="23"/>
      <c r="D26" s="23">
        <v>100000.0</v>
      </c>
    </row>
    <row r="27">
      <c r="A27" s="22" t="s">
        <v>48</v>
      </c>
      <c r="B27" s="22">
        <v>1.0</v>
      </c>
      <c r="C27" s="23">
        <v>10000.0</v>
      </c>
      <c r="D27" s="23">
        <v>10000.0</v>
      </c>
    </row>
    <row r="28">
      <c r="A28" s="22" t="s">
        <v>58</v>
      </c>
      <c r="B28" s="22">
        <v>4.0</v>
      </c>
      <c r="C28" s="23">
        <v>5100.0</v>
      </c>
      <c r="D28" s="23">
        <v>20400.0</v>
      </c>
    </row>
    <row r="29">
      <c r="A29" s="22" t="s">
        <v>59</v>
      </c>
      <c r="B29" s="22" t="s">
        <v>60</v>
      </c>
      <c r="C29" s="23"/>
      <c r="D29" s="23">
        <v>9000.0</v>
      </c>
    </row>
    <row r="30">
      <c r="A30" s="22" t="s">
        <v>61</v>
      </c>
      <c r="B30" s="22">
        <v>40.0</v>
      </c>
      <c r="C30" s="23">
        <v>200.0</v>
      </c>
      <c r="D30" s="23">
        <v>8000.0</v>
      </c>
    </row>
    <row r="31">
      <c r="A31" s="22" t="s">
        <v>62</v>
      </c>
      <c r="B31" s="22">
        <v>1.0</v>
      </c>
      <c r="C31" s="23"/>
      <c r="D31" s="23">
        <v>15000.0</v>
      </c>
    </row>
    <row r="32">
      <c r="A32" s="22" t="s">
        <v>63</v>
      </c>
      <c r="B32" s="22">
        <v>1.0</v>
      </c>
      <c r="C32" s="23">
        <v>13000.0</v>
      </c>
      <c r="D32" s="23">
        <v>13000.0</v>
      </c>
    </row>
    <row r="33">
      <c r="A33" s="22" t="s">
        <v>64</v>
      </c>
      <c r="B33" s="22">
        <v>1.0</v>
      </c>
      <c r="C33" s="23">
        <v>1000.0</v>
      </c>
      <c r="D33" s="23">
        <v>1000.0</v>
      </c>
    </row>
    <row r="34">
      <c r="A34" s="22" t="s">
        <v>65</v>
      </c>
      <c r="B34" s="22"/>
      <c r="C34" s="23">
        <v>5000.0</v>
      </c>
      <c r="D34" s="23">
        <v>5000.0</v>
      </c>
    </row>
    <row r="35">
      <c r="A35" s="22" t="s">
        <v>58</v>
      </c>
      <c r="B35" s="22">
        <v>2.0</v>
      </c>
      <c r="C35" s="23">
        <v>5200.0</v>
      </c>
      <c r="D35" s="23">
        <v>10400.0</v>
      </c>
    </row>
    <row r="36">
      <c r="A36" s="22" t="s">
        <v>66</v>
      </c>
      <c r="B36" s="22">
        <v>1.0</v>
      </c>
      <c r="C36" s="23">
        <v>5000.0</v>
      </c>
      <c r="D36" s="23">
        <v>5000.0</v>
      </c>
    </row>
    <row r="37">
      <c r="A37" s="22" t="s">
        <v>20</v>
      </c>
      <c r="B37" s="22"/>
      <c r="C37" s="23">
        <v>5000.0</v>
      </c>
      <c r="D37" s="23">
        <v>5000.0</v>
      </c>
    </row>
    <row r="38">
      <c r="A38" s="22" t="s">
        <v>67</v>
      </c>
      <c r="B38" s="22"/>
      <c r="C38" s="23">
        <v>1000.0</v>
      </c>
      <c r="D38" s="23">
        <v>1000.0</v>
      </c>
    </row>
    <row r="39">
      <c r="A39" s="22" t="s">
        <v>63</v>
      </c>
      <c r="B39" s="22">
        <v>1.0</v>
      </c>
      <c r="C39" s="23">
        <v>10000.0</v>
      </c>
      <c r="D39" s="23">
        <v>10000.0</v>
      </c>
    </row>
    <row r="40">
      <c r="A40" s="22" t="s">
        <v>68</v>
      </c>
      <c r="B40" s="22">
        <v>100.0</v>
      </c>
      <c r="C40" s="23">
        <v>200.0</v>
      </c>
      <c r="D40" s="23">
        <v>20000.0</v>
      </c>
    </row>
    <row r="41">
      <c r="A41" s="22" t="s">
        <v>68</v>
      </c>
      <c r="B41" s="22">
        <v>400.0</v>
      </c>
      <c r="C41" s="23">
        <v>225.0</v>
      </c>
      <c r="D41" s="23">
        <v>90000.0</v>
      </c>
    </row>
    <row r="42">
      <c r="A42" s="22" t="s">
        <v>69</v>
      </c>
      <c r="B42" s="22">
        <v>6.0</v>
      </c>
      <c r="C42" s="23"/>
      <c r="D42" s="23">
        <v>17400.0</v>
      </c>
    </row>
    <row r="43">
      <c r="A43" s="22" t="s">
        <v>70</v>
      </c>
      <c r="B43" s="22">
        <v>4.0</v>
      </c>
      <c r="C43" s="23">
        <v>5100.0</v>
      </c>
      <c r="D43" s="23">
        <v>20400.0</v>
      </c>
    </row>
    <row r="44">
      <c r="A44" s="22" t="s">
        <v>71</v>
      </c>
      <c r="B44" s="22">
        <v>1.0</v>
      </c>
      <c r="C44" s="23">
        <v>2250.0</v>
      </c>
      <c r="D44" s="23">
        <v>2250.0</v>
      </c>
    </row>
    <row r="45">
      <c r="A45" s="22" t="s">
        <v>72</v>
      </c>
      <c r="B45" s="22">
        <v>1.0</v>
      </c>
      <c r="C45" s="23">
        <v>2100.0</v>
      </c>
      <c r="D45" s="23">
        <v>2100.0</v>
      </c>
    </row>
    <row r="46">
      <c r="A46" s="22" t="s">
        <v>73</v>
      </c>
      <c r="B46" s="22"/>
      <c r="C46" s="23"/>
      <c r="D46" s="23">
        <v>10000.0</v>
      </c>
    </row>
    <row r="47">
      <c r="A47" s="22" t="s">
        <v>63</v>
      </c>
      <c r="B47" s="22"/>
      <c r="C47" s="23"/>
      <c r="D47" s="23">
        <v>13000.0</v>
      </c>
    </row>
    <row r="48">
      <c r="A48" s="22" t="s">
        <v>67</v>
      </c>
      <c r="B48" s="22"/>
      <c r="C48" s="23"/>
      <c r="D48" s="23">
        <v>2000.0</v>
      </c>
    </row>
    <row r="49">
      <c r="A49" s="22" t="s">
        <v>74</v>
      </c>
      <c r="B49" s="22"/>
      <c r="C49" s="23"/>
      <c r="D49" s="23">
        <v>5000.0</v>
      </c>
    </row>
    <row r="50">
      <c r="A50" s="22" t="s">
        <v>75</v>
      </c>
      <c r="B50" s="22">
        <v>3.0</v>
      </c>
      <c r="C50" s="23"/>
      <c r="D50" s="23">
        <v>8550.0</v>
      </c>
    </row>
    <row r="51">
      <c r="A51" s="22" t="s">
        <v>70</v>
      </c>
      <c r="B51" s="22">
        <v>3.0</v>
      </c>
      <c r="C51" s="23">
        <v>5100.0</v>
      </c>
      <c r="D51" s="23">
        <v>15300.0</v>
      </c>
    </row>
    <row r="52">
      <c r="A52" s="22" t="s">
        <v>63</v>
      </c>
      <c r="B52" s="22">
        <v>1.0</v>
      </c>
      <c r="C52" s="23"/>
      <c r="D52" s="23">
        <v>10000.0</v>
      </c>
    </row>
    <row r="53">
      <c r="A53" s="22" t="s">
        <v>67</v>
      </c>
      <c r="B53" s="22"/>
      <c r="C53" s="23"/>
      <c r="D53" s="23">
        <v>1500.0</v>
      </c>
    </row>
    <row r="54">
      <c r="A54" s="22" t="s">
        <v>76</v>
      </c>
      <c r="B54" s="22"/>
      <c r="C54" s="23"/>
      <c r="D54" s="23">
        <v>5000.0</v>
      </c>
    </row>
    <row r="55">
      <c r="A55" s="22" t="s">
        <v>70</v>
      </c>
      <c r="B55" s="22">
        <v>3.0</v>
      </c>
      <c r="C55" s="22">
        <v>5200.0</v>
      </c>
      <c r="D55" s="23">
        <v>15600.0</v>
      </c>
    </row>
    <row r="56">
      <c r="A56" s="22" t="s">
        <v>75</v>
      </c>
      <c r="B56" s="22">
        <v>1.0</v>
      </c>
      <c r="C56" s="22">
        <v>2900.0</v>
      </c>
      <c r="D56" s="23">
        <v>2900.0</v>
      </c>
    </row>
    <row r="57">
      <c r="A57" s="22" t="s">
        <v>77</v>
      </c>
      <c r="B57" s="22">
        <v>1.0</v>
      </c>
      <c r="C57" s="22">
        <v>1600.0</v>
      </c>
      <c r="D57" s="23">
        <v>1600.0</v>
      </c>
    </row>
    <row r="58">
      <c r="A58" s="22" t="s">
        <v>78</v>
      </c>
      <c r="B58" s="22">
        <v>1.0</v>
      </c>
      <c r="C58" s="24"/>
      <c r="D58" s="23">
        <v>250.0</v>
      </c>
    </row>
    <row r="59">
      <c r="A59" s="22" t="s">
        <v>63</v>
      </c>
      <c r="B59" s="24"/>
      <c r="C59" s="24"/>
      <c r="D59" s="23">
        <v>10000.0</v>
      </c>
    </row>
    <row r="60">
      <c r="A60" s="22" t="s">
        <v>74</v>
      </c>
      <c r="B60" s="22">
        <v>1.0</v>
      </c>
      <c r="C60" s="24"/>
      <c r="D60" s="23">
        <v>5000.0</v>
      </c>
    </row>
    <row r="61">
      <c r="A61" s="22" t="s">
        <v>70</v>
      </c>
      <c r="B61" s="22">
        <v>1.0</v>
      </c>
      <c r="C61" s="22">
        <v>5300.0</v>
      </c>
      <c r="D61" s="23">
        <v>5300.0</v>
      </c>
    </row>
    <row r="62">
      <c r="A62" s="22" t="s">
        <v>63</v>
      </c>
      <c r="B62" s="24"/>
      <c r="C62" s="22">
        <v>13000.0</v>
      </c>
      <c r="D62" s="23">
        <v>13000.0</v>
      </c>
    </row>
    <row r="63">
      <c r="A63" s="22" t="s">
        <v>79</v>
      </c>
      <c r="B63" s="24"/>
      <c r="C63" s="24"/>
      <c r="D63" s="23">
        <v>30000.0</v>
      </c>
    </row>
    <row r="64">
      <c r="A64" s="22" t="s">
        <v>48</v>
      </c>
      <c r="B64" s="24"/>
      <c r="C64" s="24"/>
      <c r="D64" s="23">
        <v>5000.0</v>
      </c>
    </row>
    <row r="65">
      <c r="A65" s="22" t="s">
        <v>67</v>
      </c>
      <c r="B65" s="24"/>
      <c r="C65" s="24"/>
      <c r="D65" s="23">
        <v>2000.0</v>
      </c>
    </row>
    <row r="66">
      <c r="A66" s="22" t="s">
        <v>70</v>
      </c>
      <c r="B66" s="22">
        <v>2.0</v>
      </c>
      <c r="C66" s="22">
        <v>5200.0</v>
      </c>
      <c r="D66" s="23">
        <v>10400.0</v>
      </c>
    </row>
    <row r="67">
      <c r="A67" s="22" t="s">
        <v>63</v>
      </c>
      <c r="B67" s="24"/>
      <c r="C67" s="24"/>
      <c r="D67" s="23">
        <v>10000.0</v>
      </c>
    </row>
    <row r="68">
      <c r="A68" s="22" t="s">
        <v>67</v>
      </c>
      <c r="B68" s="24"/>
      <c r="C68" s="24"/>
      <c r="D68" s="23">
        <v>1500.0</v>
      </c>
    </row>
    <row r="69">
      <c r="A69" s="22" t="s">
        <v>80</v>
      </c>
      <c r="B69" s="24"/>
      <c r="C69" s="24"/>
      <c r="D69" s="23">
        <v>1500.0</v>
      </c>
    </row>
    <row r="70">
      <c r="A70" s="22" t="s">
        <v>81</v>
      </c>
      <c r="B70" s="22">
        <v>4.0</v>
      </c>
      <c r="C70" s="22">
        <v>5200.0</v>
      </c>
      <c r="D70" s="23">
        <v>20800.0</v>
      </c>
    </row>
    <row r="71">
      <c r="A71" s="22" t="s">
        <v>68</v>
      </c>
      <c r="B71" s="22">
        <v>400.0</v>
      </c>
      <c r="C71" s="24"/>
      <c r="D71" s="23">
        <v>90000.0</v>
      </c>
    </row>
    <row r="72">
      <c r="A72" s="22" t="s">
        <v>63</v>
      </c>
      <c r="B72" s="24"/>
      <c r="C72" s="24"/>
      <c r="D72" s="23">
        <v>10000.0</v>
      </c>
    </row>
    <row r="73">
      <c r="A73" s="22" t="s">
        <v>75</v>
      </c>
      <c r="B73" s="22">
        <v>5.0</v>
      </c>
      <c r="C73" s="24"/>
      <c r="D73" s="23">
        <v>137000.0</v>
      </c>
    </row>
    <row r="74">
      <c r="A74" s="22" t="s">
        <v>63</v>
      </c>
      <c r="B74" s="24"/>
      <c r="C74" s="24"/>
      <c r="D74" s="23">
        <v>10000.0</v>
      </c>
    </row>
    <row r="75">
      <c r="A75" s="22" t="s">
        <v>74</v>
      </c>
      <c r="B75" s="24"/>
      <c r="C75" s="24"/>
      <c r="D75" s="23">
        <v>10000.0</v>
      </c>
    </row>
    <row r="76">
      <c r="A76" s="22" t="s">
        <v>82</v>
      </c>
      <c r="B76" s="24"/>
      <c r="C76" s="24"/>
      <c r="D76" s="23">
        <v>3000.0</v>
      </c>
    </row>
    <row r="77">
      <c r="A77" s="22" t="s">
        <v>75</v>
      </c>
      <c r="B77" s="22">
        <v>6.0</v>
      </c>
      <c r="C77" s="24"/>
      <c r="D77" s="23">
        <v>17400.0</v>
      </c>
    </row>
    <row r="78">
      <c r="A78" s="22" t="s">
        <v>77</v>
      </c>
      <c r="B78" s="22">
        <v>1.0</v>
      </c>
      <c r="C78" s="24"/>
      <c r="D78" s="23">
        <v>1500.0</v>
      </c>
    </row>
    <row r="79">
      <c r="A79" s="22" t="s">
        <v>83</v>
      </c>
      <c r="B79" s="22">
        <v>2.0</v>
      </c>
      <c r="C79" s="24"/>
      <c r="D79" s="23">
        <v>10400.0</v>
      </c>
    </row>
    <row r="80">
      <c r="A80" s="22" t="s">
        <v>84</v>
      </c>
      <c r="B80" s="22">
        <v>2.0</v>
      </c>
      <c r="C80" s="24"/>
      <c r="D80" s="23">
        <v>1500.0</v>
      </c>
    </row>
    <row r="81">
      <c r="A81" s="22" t="s">
        <v>85</v>
      </c>
      <c r="B81" s="22">
        <v>20.0</v>
      </c>
      <c r="C81" s="24"/>
      <c r="D81" s="23">
        <v>4000.0</v>
      </c>
    </row>
    <row r="82">
      <c r="A82" s="22" t="s">
        <v>86</v>
      </c>
      <c r="B82" s="24"/>
      <c r="C82" s="24"/>
      <c r="D82" s="23">
        <v>1500.0</v>
      </c>
    </row>
    <row r="83">
      <c r="A83" s="22" t="s">
        <v>87</v>
      </c>
      <c r="B83" s="24"/>
      <c r="C83" s="24"/>
      <c r="D83" s="23">
        <v>10000.0</v>
      </c>
    </row>
    <row r="84">
      <c r="A84" s="22" t="s">
        <v>88</v>
      </c>
      <c r="B84" s="24"/>
      <c r="C84" s="24"/>
      <c r="D84" s="23">
        <v>8500.0</v>
      </c>
    </row>
    <row r="85">
      <c r="A85" s="22"/>
      <c r="B85" s="24"/>
      <c r="C85" s="24"/>
      <c r="D85" s="25"/>
    </row>
    <row r="86">
      <c r="A86" s="22"/>
      <c r="B86" s="24"/>
      <c r="C86" s="24"/>
      <c r="D86" s="25"/>
    </row>
    <row r="87">
      <c r="A87" s="22" t="s">
        <v>7</v>
      </c>
      <c r="B87" s="24"/>
      <c r="C87" s="24"/>
      <c r="D87" s="25">
        <f>SUM(D8:D86)</f>
        <v>1919650</v>
      </c>
    </row>
  </sheetData>
  <mergeCells count="7">
    <mergeCell ref="A1:C1"/>
    <mergeCell ref="A2:C2"/>
    <mergeCell ref="A3:C3"/>
    <mergeCell ref="H5:I5"/>
    <mergeCell ref="K5:N5"/>
    <mergeCell ref="A6:F6"/>
    <mergeCell ref="S6:V6"/>
  </mergeCell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9.0"/>
    <col customWidth="1" min="3" max="3" width="21.13"/>
    <col customWidth="1" min="4" max="4" width="23.25"/>
    <col customWidth="1" min="5" max="5" width="30.88"/>
    <col customWidth="1" min="6" max="6" width="18.63"/>
    <col customWidth="1" min="7" max="7" width="14.75"/>
    <col customWidth="1" min="8" max="8" width="14.25"/>
  </cols>
  <sheetData>
    <row r="1">
      <c r="A1" s="42" t="s">
        <v>89</v>
      </c>
      <c r="D1" s="43" t="str">
        <f>'Table de Financement'!J7</f>
        <v/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4" t="s">
        <v>90</v>
      </c>
      <c r="D2" s="45"/>
      <c r="E2" s="3"/>
      <c r="F2" s="46"/>
      <c r="G2" s="46"/>
      <c r="H2" s="4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6"/>
      <c r="B3" s="46"/>
      <c r="C3" s="46"/>
      <c r="D3" s="3"/>
      <c r="E3" s="3"/>
      <c r="F3" s="46"/>
      <c r="G3" s="46"/>
      <c r="H3" s="4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6"/>
      <c r="B4" s="46"/>
      <c r="C4" s="47"/>
      <c r="D4" s="3"/>
      <c r="E4" s="3" t="s">
        <v>91</v>
      </c>
      <c r="F4" s="46">
        <f>B13+B22+B26+B27+B28+B30+B31+B33+B41+B47+B48</f>
        <v>350</v>
      </c>
      <c r="G4" s="46"/>
      <c r="H4" s="4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6"/>
      <c r="B5" s="46"/>
      <c r="C5" s="47"/>
      <c r="D5" s="3"/>
      <c r="E5" s="48" t="s">
        <v>92</v>
      </c>
      <c r="F5" s="46">
        <f>B14+B15+B32+B44+B46</f>
        <v>35</v>
      </c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>
      <c r="A6" s="49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>
      <c r="A7" s="50" t="s">
        <v>93</v>
      </c>
      <c r="B7" s="51" t="s">
        <v>94</v>
      </c>
      <c r="C7" s="51" t="s">
        <v>95</v>
      </c>
      <c r="D7" s="51" t="s">
        <v>2</v>
      </c>
      <c r="E7" s="52" t="s">
        <v>96</v>
      </c>
      <c r="F7" s="3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>
      <c r="A8" s="53" t="s">
        <v>97</v>
      </c>
      <c r="B8" s="54">
        <v>3750.0</v>
      </c>
      <c r="C8" s="55">
        <f>550</f>
        <v>550</v>
      </c>
      <c r="D8" s="56">
        <f t="shared" ref="D8:D25" si="1">B8*C8</f>
        <v>2062500</v>
      </c>
      <c r="E8" s="57"/>
      <c r="F8" s="48">
        <v>3750.0</v>
      </c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>
      <c r="A9" s="58" t="s">
        <v>98</v>
      </c>
      <c r="B9" s="59">
        <f>10000/500</f>
        <v>20</v>
      </c>
      <c r="C9" s="55">
        <v>500.0</v>
      </c>
      <c r="D9" s="56">
        <f t="shared" si="1"/>
        <v>10000</v>
      </c>
      <c r="E9" s="57"/>
      <c r="F9" s="3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>
      <c r="A10" s="60" t="s">
        <v>99</v>
      </c>
      <c r="B10" s="54">
        <v>1.0</v>
      </c>
      <c r="C10" s="61">
        <v>100000.0</v>
      </c>
      <c r="D10" s="56">
        <f t="shared" si="1"/>
        <v>100000</v>
      </c>
      <c r="E10" s="57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>
      <c r="A11" s="60" t="s">
        <v>100</v>
      </c>
      <c r="B11" s="54">
        <v>1.0</v>
      </c>
      <c r="C11" s="61">
        <v>10000.0</v>
      </c>
      <c r="D11" s="56">
        <f t="shared" si="1"/>
        <v>10000</v>
      </c>
      <c r="E11" s="57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>
      <c r="A12" s="60" t="s">
        <v>101</v>
      </c>
      <c r="B12" s="54">
        <v>1.0</v>
      </c>
      <c r="C12" s="61">
        <v>1000.0</v>
      </c>
      <c r="D12" s="56">
        <f t="shared" si="1"/>
        <v>1000</v>
      </c>
      <c r="E12" s="57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>
      <c r="A13" s="60" t="s">
        <v>102</v>
      </c>
      <c r="B13" s="54">
        <v>10.0</v>
      </c>
      <c r="C13" s="56">
        <f>127445/B13</f>
        <v>12744.5</v>
      </c>
      <c r="D13" s="56">
        <f t="shared" si="1"/>
        <v>127445</v>
      </c>
      <c r="E13" s="57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>
      <c r="A14" s="60" t="s">
        <v>103</v>
      </c>
      <c r="B14" s="54">
        <v>3.0</v>
      </c>
      <c r="C14" s="61">
        <v>52000.0</v>
      </c>
      <c r="D14" s="56">
        <f t="shared" si="1"/>
        <v>156000</v>
      </c>
      <c r="E14" s="57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>
      <c r="A15" s="60" t="s">
        <v>103</v>
      </c>
      <c r="B15" s="54">
        <v>7.0</v>
      </c>
      <c r="C15" s="61">
        <v>52000.0</v>
      </c>
      <c r="D15" s="56">
        <f t="shared" si="1"/>
        <v>364000</v>
      </c>
      <c r="E15" s="57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>
      <c r="A16" s="60" t="s">
        <v>104</v>
      </c>
      <c r="B16" s="54">
        <v>1.0</v>
      </c>
      <c r="C16" s="61">
        <v>1000.0</v>
      </c>
      <c r="D16" s="56">
        <f t="shared" si="1"/>
        <v>1000</v>
      </c>
      <c r="E16" s="57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>
      <c r="A17" s="60" t="s">
        <v>48</v>
      </c>
      <c r="B17" s="54">
        <v>1.0</v>
      </c>
      <c r="C17" s="61">
        <v>30000.0</v>
      </c>
      <c r="D17" s="56">
        <f t="shared" si="1"/>
        <v>30000</v>
      </c>
      <c r="E17" s="57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>
      <c r="A18" s="60" t="s">
        <v>105</v>
      </c>
      <c r="B18" s="54">
        <v>1.0</v>
      </c>
      <c r="C18" s="61">
        <v>25000.0</v>
      </c>
      <c r="D18" s="56">
        <f t="shared" si="1"/>
        <v>25000</v>
      </c>
      <c r="E18" s="57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A19" s="60" t="s">
        <v>106</v>
      </c>
      <c r="B19" s="54">
        <v>1.0</v>
      </c>
      <c r="C19" s="61">
        <v>10000.0</v>
      </c>
      <c r="D19" s="56">
        <f t="shared" si="1"/>
        <v>10000</v>
      </c>
      <c r="E19" s="57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>
      <c r="A20" s="60" t="s">
        <v>107</v>
      </c>
      <c r="B20" s="54">
        <v>1.0</v>
      </c>
      <c r="C20" s="61">
        <v>220000.0</v>
      </c>
      <c r="D20" s="56">
        <f t="shared" si="1"/>
        <v>220000</v>
      </c>
      <c r="E20" s="57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>
      <c r="A21" s="60" t="s">
        <v>108</v>
      </c>
      <c r="B21" s="54">
        <v>1.0</v>
      </c>
      <c r="C21" s="61">
        <v>10000.0</v>
      </c>
      <c r="D21" s="56">
        <f t="shared" si="1"/>
        <v>10000</v>
      </c>
      <c r="E21" s="57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>
      <c r="A22" s="60" t="s">
        <v>109</v>
      </c>
      <c r="B22" s="54">
        <v>15.0</v>
      </c>
      <c r="C22" s="61">
        <f>125550/15</f>
        <v>8370</v>
      </c>
      <c r="D22" s="56">
        <f t="shared" si="1"/>
        <v>125550</v>
      </c>
      <c r="E22" s="57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>
      <c r="A23" s="60" t="s">
        <v>110</v>
      </c>
      <c r="B23" s="54">
        <v>1.0</v>
      </c>
      <c r="C23" s="61">
        <v>14000.0</v>
      </c>
      <c r="D23" s="56">
        <f t="shared" si="1"/>
        <v>14000</v>
      </c>
      <c r="E23" s="57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>
      <c r="A24" s="60" t="s">
        <v>48</v>
      </c>
      <c r="B24" s="54">
        <v>1.0</v>
      </c>
      <c r="C24" s="61">
        <v>5000.0</v>
      </c>
      <c r="D24" s="56">
        <f t="shared" si="1"/>
        <v>5000</v>
      </c>
      <c r="E24" s="57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>
      <c r="A25" s="60" t="s">
        <v>48</v>
      </c>
      <c r="B25" s="54">
        <v>1.0</v>
      </c>
      <c r="C25" s="61">
        <v>10000.0</v>
      </c>
      <c r="D25" s="56">
        <f t="shared" si="1"/>
        <v>10000</v>
      </c>
      <c r="E25" s="57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>
      <c r="A26" s="60" t="s">
        <v>111</v>
      </c>
      <c r="B26" s="54">
        <v>20.0</v>
      </c>
      <c r="C26" s="56">
        <f>D26/B26</f>
        <v>13161.25</v>
      </c>
      <c r="D26" s="61">
        <v>263225.0</v>
      </c>
      <c r="E26" s="57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>
      <c r="A27" s="60" t="s">
        <v>111</v>
      </c>
      <c r="B27" s="54">
        <v>5.0</v>
      </c>
      <c r="C27" s="56">
        <f>36875/5</f>
        <v>7375</v>
      </c>
      <c r="D27" s="56">
        <f t="shared" ref="D27:D55" si="2">B27*C27</f>
        <v>36875</v>
      </c>
      <c r="E27" s="57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>
      <c r="A28" s="60" t="s">
        <v>111</v>
      </c>
      <c r="B28" s="54">
        <v>35.0</v>
      </c>
      <c r="C28" s="56">
        <f>(151025+112200)/B28</f>
        <v>7520.714286</v>
      </c>
      <c r="D28" s="56">
        <f t="shared" si="2"/>
        <v>263225</v>
      </c>
      <c r="E28" s="57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>
      <c r="A29" s="60" t="s">
        <v>112</v>
      </c>
      <c r="B29" s="54">
        <v>1.0</v>
      </c>
      <c r="C29" s="61">
        <v>9500.0</v>
      </c>
      <c r="D29" s="56">
        <f t="shared" si="2"/>
        <v>9500</v>
      </c>
      <c r="E29" s="57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>
      <c r="A30" s="60" t="s">
        <v>113</v>
      </c>
      <c r="B30" s="54">
        <v>60.0</v>
      </c>
      <c r="C30" s="56">
        <f>449645/B30</f>
        <v>7494.083333</v>
      </c>
      <c r="D30" s="56">
        <f t="shared" si="2"/>
        <v>449645</v>
      </c>
      <c r="E30" s="57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>
      <c r="A31" s="60" t="s">
        <v>113</v>
      </c>
      <c r="B31" s="54">
        <v>20.0</v>
      </c>
      <c r="C31" s="56">
        <f>156185/B31</f>
        <v>7809.25</v>
      </c>
      <c r="D31" s="56">
        <f t="shared" si="2"/>
        <v>156185</v>
      </c>
      <c r="E31" s="57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>
      <c r="A32" s="60" t="s">
        <v>114</v>
      </c>
      <c r="B32" s="54">
        <v>8.0</v>
      </c>
      <c r="C32" s="61">
        <v>52000.0</v>
      </c>
      <c r="D32" s="56">
        <f t="shared" si="2"/>
        <v>416000</v>
      </c>
      <c r="E32" s="57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>
      <c r="A33" s="60" t="s">
        <v>113</v>
      </c>
      <c r="B33" s="54">
        <v>15.0</v>
      </c>
      <c r="C33" s="56">
        <f>107045/B33</f>
        <v>7136.333333</v>
      </c>
      <c r="D33" s="56">
        <f t="shared" si="2"/>
        <v>107045</v>
      </c>
      <c r="E33" s="57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>
      <c r="A34" s="60" t="s">
        <v>115</v>
      </c>
      <c r="B34" s="54">
        <v>1.0</v>
      </c>
      <c r="C34" s="61">
        <v>5000.0</v>
      </c>
      <c r="D34" s="56">
        <f t="shared" si="2"/>
        <v>5000</v>
      </c>
      <c r="E34" s="57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>
      <c r="A35" s="60" t="s">
        <v>116</v>
      </c>
      <c r="B35" s="54">
        <v>1.0</v>
      </c>
      <c r="C35" s="61">
        <v>2000.0</v>
      </c>
      <c r="D35" s="56">
        <f t="shared" si="2"/>
        <v>2000</v>
      </c>
      <c r="E35" s="57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>
      <c r="A36" s="60" t="s">
        <v>117</v>
      </c>
      <c r="B36" s="54">
        <v>1.0</v>
      </c>
      <c r="C36" s="61">
        <v>2500.0</v>
      </c>
      <c r="D36" s="56">
        <f t="shared" si="2"/>
        <v>2500</v>
      </c>
      <c r="E36" s="57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>
      <c r="A37" s="60" t="s">
        <v>118</v>
      </c>
      <c r="B37" s="54">
        <v>1.0</v>
      </c>
      <c r="C37" s="61">
        <v>1000.0</v>
      </c>
      <c r="D37" s="56">
        <f t="shared" si="2"/>
        <v>1000</v>
      </c>
      <c r="E37" s="57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>
      <c r="A38" s="60" t="s">
        <v>48</v>
      </c>
      <c r="B38" s="54">
        <v>1.0</v>
      </c>
      <c r="C38" s="61">
        <v>5000.0</v>
      </c>
      <c r="D38" s="56">
        <f t="shared" si="2"/>
        <v>5000</v>
      </c>
      <c r="E38" s="57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>
      <c r="A39" s="60" t="s">
        <v>119</v>
      </c>
      <c r="B39" s="54">
        <v>1.0</v>
      </c>
      <c r="C39" s="61">
        <v>2000.0</v>
      </c>
      <c r="D39" s="56">
        <f t="shared" si="2"/>
        <v>2000</v>
      </c>
      <c r="E39" s="57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>
      <c r="A40" s="60" t="s">
        <v>98</v>
      </c>
      <c r="B40" s="54">
        <v>10.0</v>
      </c>
      <c r="C40" s="61">
        <v>500.0</v>
      </c>
      <c r="D40" s="56">
        <f t="shared" si="2"/>
        <v>5000</v>
      </c>
      <c r="E40" s="57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>
      <c r="A41" s="60" t="s">
        <v>120</v>
      </c>
      <c r="B41" s="54">
        <v>70.0</v>
      </c>
      <c r="C41" s="56">
        <f>518300/B41</f>
        <v>7404.285714</v>
      </c>
      <c r="D41" s="56">
        <f t="shared" si="2"/>
        <v>518300</v>
      </c>
      <c r="E41" s="57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>
      <c r="A42" s="60" t="s">
        <v>121</v>
      </c>
      <c r="B42" s="54">
        <v>1.0</v>
      </c>
      <c r="C42" s="61">
        <v>7000.0</v>
      </c>
      <c r="D42" s="56">
        <f t="shared" si="2"/>
        <v>7000</v>
      </c>
      <c r="E42" s="57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>
      <c r="A43" s="60" t="s">
        <v>98</v>
      </c>
      <c r="B43" s="54">
        <v>5.0</v>
      </c>
      <c r="C43" s="61">
        <v>500.0</v>
      </c>
      <c r="D43" s="56">
        <f t="shared" si="2"/>
        <v>2500</v>
      </c>
      <c r="E43" s="57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>
      <c r="A44" s="60" t="s">
        <v>114</v>
      </c>
      <c r="B44" s="54">
        <v>7.0</v>
      </c>
      <c r="C44" s="61">
        <v>52000.0</v>
      </c>
      <c r="D44" s="56">
        <f t="shared" si="2"/>
        <v>364000</v>
      </c>
      <c r="E44" s="57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>
      <c r="A45" s="60" t="s">
        <v>118</v>
      </c>
      <c r="B45" s="54">
        <v>1.0</v>
      </c>
      <c r="C45" s="61">
        <v>1500.0</v>
      </c>
      <c r="D45" s="56">
        <f t="shared" si="2"/>
        <v>1500</v>
      </c>
      <c r="E45" s="57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>
      <c r="A46" s="60" t="s">
        <v>114</v>
      </c>
      <c r="B46" s="54">
        <v>10.0</v>
      </c>
      <c r="C46" s="61">
        <v>52000.0</v>
      </c>
      <c r="D46" s="56">
        <f t="shared" si="2"/>
        <v>520000</v>
      </c>
      <c r="E46" s="57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>
      <c r="A47" s="60" t="s">
        <v>122</v>
      </c>
      <c r="B47" s="54">
        <v>60.0</v>
      </c>
      <c r="C47" s="61">
        <f>452570/B47</f>
        <v>7542.833333</v>
      </c>
      <c r="D47" s="56">
        <f t="shared" si="2"/>
        <v>452570</v>
      </c>
      <c r="E47" s="57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>
      <c r="A48" s="60" t="s">
        <v>122</v>
      </c>
      <c r="B48" s="54">
        <v>40.0</v>
      </c>
      <c r="C48" s="61">
        <f>303400/B48</f>
        <v>7585</v>
      </c>
      <c r="D48" s="56">
        <f t="shared" si="2"/>
        <v>303400</v>
      </c>
      <c r="E48" s="57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>
      <c r="A49" s="60" t="s">
        <v>123</v>
      </c>
      <c r="B49" s="54">
        <v>1.0</v>
      </c>
      <c r="C49" s="61">
        <v>110000.0</v>
      </c>
      <c r="D49" s="56">
        <f t="shared" si="2"/>
        <v>110000</v>
      </c>
      <c r="E49" s="57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>
      <c r="A50" s="60" t="s">
        <v>124</v>
      </c>
      <c r="B50" s="54">
        <v>1.0</v>
      </c>
      <c r="C50" s="61">
        <v>110000.0</v>
      </c>
      <c r="D50" s="56">
        <f t="shared" si="2"/>
        <v>110000</v>
      </c>
      <c r="E50" s="57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>
      <c r="A51" s="60" t="s">
        <v>125</v>
      </c>
      <c r="B51" s="54">
        <v>1.0</v>
      </c>
      <c r="C51" s="61">
        <v>200000.0</v>
      </c>
      <c r="D51" s="56">
        <f t="shared" si="2"/>
        <v>200000</v>
      </c>
      <c r="E51" s="57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>
      <c r="A52" s="60" t="s">
        <v>74</v>
      </c>
      <c r="B52" s="54">
        <v>1.0</v>
      </c>
      <c r="C52" s="61">
        <v>15000.0</v>
      </c>
      <c r="D52" s="56">
        <f t="shared" si="2"/>
        <v>15000</v>
      </c>
      <c r="E52" s="57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>
      <c r="A53" s="58" t="s">
        <v>126</v>
      </c>
      <c r="B53" s="62">
        <v>1.0</v>
      </c>
      <c r="C53" s="61">
        <v>25000.0</v>
      </c>
      <c r="D53" s="56">
        <f t="shared" si="2"/>
        <v>25000</v>
      </c>
      <c r="E53" s="57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58" t="s">
        <v>112</v>
      </c>
      <c r="B54" s="62">
        <v>1.0</v>
      </c>
      <c r="C54" s="61">
        <v>12000.0</v>
      </c>
      <c r="D54" s="56">
        <f t="shared" si="2"/>
        <v>12000</v>
      </c>
      <c r="E54" s="57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58" t="s">
        <v>127</v>
      </c>
      <c r="B55" s="62">
        <v>1.0</v>
      </c>
      <c r="C55" s="61">
        <v>12000.0</v>
      </c>
      <c r="D55" s="56">
        <f t="shared" si="2"/>
        <v>12000</v>
      </c>
      <c r="E55" s="57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63"/>
      <c r="B56" s="64"/>
      <c r="C56" s="2"/>
      <c r="D56" s="65">
        <f>SUM(D8:D55)</f>
        <v>7658965</v>
      </c>
      <c r="E56" s="4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6"/>
      <c r="B57" s="46"/>
      <c r="C57" s="46"/>
      <c r="D57" s="46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6"/>
      <c r="B58" s="46"/>
      <c r="C58" s="46"/>
      <c r="D58" s="46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6"/>
      <c r="B59" s="46"/>
      <c r="C59" s="46"/>
      <c r="D59" s="46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6"/>
      <c r="B60" s="46"/>
      <c r="C60" s="46"/>
      <c r="D60" s="46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6"/>
      <c r="B61" s="46"/>
      <c r="C61" s="46"/>
      <c r="D61" s="46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66" t="s">
        <v>128</v>
      </c>
      <c r="B63" s="67">
        <v>6000000.0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46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 t="s">
        <v>129</v>
      </c>
      <c r="B65" s="68">
        <v>0.1</v>
      </c>
      <c r="C65" s="69">
        <f>B63*B65</f>
        <v>600000</v>
      </c>
      <c r="D65" s="4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 t="s">
        <v>130</v>
      </c>
      <c r="B66" s="68">
        <v>0.05</v>
      </c>
      <c r="C66" s="69">
        <v>0.0</v>
      </c>
      <c r="D66" s="4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 t="s">
        <v>131</v>
      </c>
      <c r="B67" s="70">
        <v>2.0</v>
      </c>
      <c r="C67" s="69">
        <v>50000.0</v>
      </c>
      <c r="D67" s="4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71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71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71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 t="s">
        <v>7</v>
      </c>
      <c r="C71" s="72">
        <f>SUM(C65:C67)</f>
        <v>650000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63" t="s">
        <v>132</v>
      </c>
      <c r="B76" s="64"/>
      <c r="C76" s="2"/>
      <c r="D76" s="73">
        <f> D56+C71</f>
        <v>8308965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 t="s">
        <v>133</v>
      </c>
      <c r="D80" s="7">
        <f>D76/(3750)</f>
        <v>2215.724</v>
      </c>
      <c r="E80" s="3"/>
      <c r="F80" s="3" t="str">
        <f>E73</f>
        <v/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46"/>
      <c r="G100" s="46"/>
      <c r="H100" s="46"/>
      <c r="I100" s="46"/>
      <c r="J100" s="46"/>
      <c r="K100" s="46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46"/>
      <c r="G101" s="46"/>
      <c r="H101" s="46"/>
      <c r="I101" s="46"/>
      <c r="J101" s="46"/>
      <c r="K101" s="46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46"/>
      <c r="G102" s="46"/>
      <c r="H102" s="46"/>
      <c r="I102" s="46"/>
      <c r="J102" s="46"/>
      <c r="K102" s="46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46"/>
      <c r="G103" s="46"/>
      <c r="K103" s="46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46"/>
      <c r="G104" s="46"/>
      <c r="H104" s="46"/>
      <c r="I104" s="46"/>
      <c r="J104" s="46"/>
      <c r="K104" s="46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46"/>
      <c r="G105" s="46"/>
      <c r="H105" s="46"/>
      <c r="I105" s="46"/>
      <c r="J105" s="46"/>
      <c r="K105" s="46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46"/>
      <c r="G106" s="46"/>
      <c r="H106" s="46"/>
      <c r="I106" s="46"/>
      <c r="J106" s="46"/>
      <c r="K106" s="46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46"/>
      <c r="G107" s="46"/>
      <c r="H107" s="46"/>
      <c r="I107" s="46"/>
      <c r="J107" s="46"/>
      <c r="K107" s="46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46"/>
      <c r="G108" s="46"/>
      <c r="H108" s="46"/>
      <c r="I108" s="46"/>
      <c r="J108" s="46"/>
      <c r="K108" s="46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46"/>
      <c r="G109" s="46"/>
      <c r="H109" s="46"/>
      <c r="I109" s="46"/>
      <c r="J109" s="46"/>
      <c r="K109" s="46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46"/>
      <c r="G110" s="46"/>
      <c r="H110" s="46"/>
      <c r="I110" s="46"/>
      <c r="J110" s="46"/>
      <c r="K110" s="46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46"/>
      <c r="G111" s="46"/>
      <c r="H111" s="46"/>
      <c r="I111" s="46"/>
      <c r="J111" s="46"/>
      <c r="K111" s="46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46"/>
      <c r="G112" s="46"/>
      <c r="H112" s="46"/>
      <c r="I112" s="46"/>
      <c r="J112" s="46"/>
      <c r="K112" s="46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46"/>
      <c r="G113" s="46"/>
      <c r="H113" s="46"/>
      <c r="I113" s="46"/>
      <c r="J113" s="46"/>
      <c r="K113" s="46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46"/>
      <c r="G114" s="46"/>
      <c r="H114" s="46"/>
      <c r="I114" s="46"/>
      <c r="J114" s="46"/>
      <c r="K114" s="46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46"/>
      <c r="G115" s="46"/>
      <c r="H115" s="46"/>
      <c r="I115" s="46"/>
      <c r="J115" s="46"/>
      <c r="K115" s="46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46"/>
      <c r="G116" s="46"/>
      <c r="H116" s="46"/>
      <c r="I116" s="46"/>
      <c r="J116" s="46"/>
      <c r="K116" s="46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46"/>
      <c r="G117" s="46"/>
      <c r="H117" s="46"/>
      <c r="I117" s="46"/>
      <c r="J117" s="46"/>
      <c r="K117" s="46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46"/>
      <c r="G118" s="46"/>
      <c r="H118" s="46"/>
      <c r="I118" s="46"/>
      <c r="J118" s="46"/>
      <c r="K118" s="46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46"/>
      <c r="G119" s="46"/>
      <c r="H119" s="46"/>
      <c r="I119" s="46"/>
      <c r="J119" s="46"/>
      <c r="K119" s="46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46"/>
      <c r="G120" s="46"/>
      <c r="H120" s="46"/>
      <c r="I120" s="46"/>
      <c r="J120" s="46"/>
      <c r="K120" s="46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46"/>
      <c r="G121" s="46"/>
      <c r="H121" s="46"/>
      <c r="I121" s="46"/>
      <c r="J121" s="46"/>
      <c r="K121" s="46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46"/>
      <c r="G122" s="46"/>
      <c r="H122" s="46"/>
      <c r="I122" s="46"/>
      <c r="J122" s="46"/>
      <c r="K122" s="46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46"/>
      <c r="G123" s="46"/>
      <c r="H123" s="46"/>
      <c r="I123" s="46"/>
      <c r="J123" s="46"/>
      <c r="K123" s="46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46"/>
      <c r="G124" s="46"/>
      <c r="H124" s="46"/>
      <c r="I124" s="46"/>
      <c r="J124" s="46"/>
      <c r="K124" s="46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46"/>
      <c r="G125" s="46"/>
      <c r="H125" s="46"/>
      <c r="I125" s="46"/>
      <c r="J125" s="46"/>
      <c r="K125" s="46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46"/>
      <c r="G126" s="46"/>
      <c r="H126" s="46"/>
      <c r="I126" s="46"/>
      <c r="J126" s="46"/>
      <c r="K126" s="46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46"/>
      <c r="G127" s="46"/>
      <c r="H127" s="46"/>
      <c r="I127" s="46"/>
      <c r="J127" s="46"/>
      <c r="K127" s="46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46"/>
      <c r="G128" s="46"/>
      <c r="H128" s="46"/>
      <c r="I128" s="46"/>
      <c r="J128" s="46"/>
      <c r="K128" s="46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46"/>
      <c r="G129" s="46"/>
      <c r="H129" s="46"/>
      <c r="I129" s="46"/>
      <c r="J129" s="46"/>
      <c r="K129" s="46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46"/>
      <c r="G130" s="46"/>
      <c r="H130" s="46"/>
      <c r="I130" s="46"/>
      <c r="J130" s="46"/>
      <c r="K130" s="46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46"/>
      <c r="G131" s="46"/>
      <c r="H131" s="46"/>
      <c r="I131" s="46"/>
      <c r="J131" s="46"/>
      <c r="K131" s="46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46"/>
      <c r="G132" s="46"/>
      <c r="J132" s="46"/>
      <c r="K132" s="46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46"/>
      <c r="G133" s="46"/>
      <c r="H133" s="46"/>
      <c r="I133" s="46"/>
      <c r="J133" s="46"/>
      <c r="K133" s="46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46"/>
      <c r="G134" s="46"/>
      <c r="H134" s="46"/>
      <c r="I134" s="46"/>
      <c r="J134" s="46"/>
      <c r="K134" s="46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</sheetData>
  <mergeCells count="8">
    <mergeCell ref="A1:C1"/>
    <mergeCell ref="A2:C2"/>
    <mergeCell ref="A6:D6"/>
    <mergeCell ref="A56:C56"/>
    <mergeCell ref="B73:D73"/>
    <mergeCell ref="A76:C76"/>
    <mergeCell ref="G103:J103"/>
    <mergeCell ref="G132:I13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23.75"/>
    <col customWidth="1" min="3" max="3" width="25.75"/>
    <col customWidth="1" min="4" max="4" width="27.5"/>
    <col customWidth="1" min="5" max="5" width="24.88"/>
  </cols>
  <sheetData>
    <row r="1">
      <c r="A1" s="74" t="s">
        <v>134</v>
      </c>
      <c r="B1" s="75" t="s">
        <v>94</v>
      </c>
      <c r="C1" s="76" t="s">
        <v>95</v>
      </c>
      <c r="D1" s="75" t="s">
        <v>2</v>
      </c>
      <c r="E1" s="52" t="s">
        <v>96</v>
      </c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>
      <c r="A2" s="57"/>
      <c r="B2" s="77"/>
      <c r="C2" s="78"/>
      <c r="D2" s="56"/>
      <c r="E2" s="57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>
      <c r="A3" s="57"/>
      <c r="B3" s="77"/>
      <c r="C3" s="78"/>
      <c r="D3" s="56"/>
      <c r="E3" s="57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>
      <c r="A4" s="57"/>
      <c r="B4" s="77"/>
      <c r="C4" s="78"/>
      <c r="D4" s="56"/>
      <c r="E4" s="57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>
      <c r="A5" s="57"/>
      <c r="B5" s="77"/>
      <c r="C5" s="78"/>
      <c r="D5" s="56"/>
      <c r="E5" s="57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>
      <c r="A6" s="57"/>
      <c r="B6" s="77"/>
      <c r="C6" s="78"/>
      <c r="D6" s="56"/>
      <c r="E6" s="57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>
      <c r="A7" s="57"/>
      <c r="B7" s="77"/>
      <c r="C7" s="78"/>
      <c r="D7" s="56"/>
      <c r="E7" s="57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>
      <c r="A8" s="57"/>
      <c r="B8" s="77"/>
      <c r="C8" s="78"/>
      <c r="D8" s="56"/>
      <c r="E8" s="57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>
      <c r="A9" s="77"/>
      <c r="B9" s="77"/>
      <c r="C9" s="78"/>
      <c r="D9" s="56"/>
      <c r="E9" s="78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>
      <c r="A10" s="57"/>
      <c r="B10" s="57"/>
      <c r="C10" s="57"/>
      <c r="D10" s="57"/>
      <c r="E10" s="57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>
      <c r="A11" s="57"/>
      <c r="B11" s="77"/>
      <c r="C11" s="78"/>
      <c r="D11" s="56"/>
      <c r="E11" s="57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>
      <c r="A12" s="57"/>
      <c r="B12" s="77"/>
      <c r="C12" s="78"/>
      <c r="D12" s="56"/>
      <c r="E12" s="57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>
      <c r="A13" s="57"/>
      <c r="B13" s="77"/>
      <c r="C13" s="78"/>
      <c r="D13" s="56"/>
      <c r="E13" s="57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>
      <c r="A14" s="57"/>
      <c r="B14" s="77"/>
      <c r="C14" s="78"/>
      <c r="D14" s="56"/>
      <c r="E14" s="57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>
      <c r="A15" s="57"/>
      <c r="B15" s="77"/>
      <c r="C15" s="78"/>
      <c r="D15" s="56"/>
      <c r="E15" s="57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>
      <c r="A16" s="57"/>
      <c r="B16" s="77"/>
      <c r="C16" s="78"/>
      <c r="D16" s="56"/>
      <c r="E16" s="57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>
      <c r="A17" s="57"/>
      <c r="B17" s="77"/>
      <c r="C17" s="78"/>
      <c r="D17" s="56"/>
      <c r="E17" s="57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>
      <c r="A18" s="57"/>
      <c r="B18" s="77"/>
      <c r="C18" s="78"/>
      <c r="D18" s="56"/>
      <c r="E18" s="57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A19" s="57"/>
      <c r="B19" s="77"/>
      <c r="C19" s="78"/>
      <c r="D19" s="56"/>
      <c r="E19" s="57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>
      <c r="A20" s="57"/>
      <c r="B20" s="77"/>
      <c r="C20" s="78"/>
      <c r="D20" s="56"/>
      <c r="E20" s="57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>
      <c r="A21" s="77"/>
      <c r="B21" s="77"/>
      <c r="C21" s="78"/>
      <c r="D21" s="56"/>
      <c r="E21" s="78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>
      <c r="A22" s="57"/>
      <c r="B22" s="57"/>
      <c r="C22" s="57"/>
      <c r="D22" s="57"/>
      <c r="E22" s="57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>
      <c r="A23" s="57"/>
      <c r="B23" s="77"/>
      <c r="C23" s="78"/>
      <c r="D23" s="56"/>
      <c r="E23" s="57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>
      <c r="A24" s="77"/>
      <c r="B24" s="77"/>
      <c r="C24" s="78"/>
      <c r="D24" s="56"/>
      <c r="E24" s="78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>
      <c r="A25" s="57"/>
      <c r="B25" s="57"/>
      <c r="C25" s="57"/>
      <c r="D25" s="57"/>
      <c r="E25" s="57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>
      <c r="A26" s="57"/>
      <c r="B26" s="77"/>
      <c r="C26" s="78"/>
      <c r="D26" s="56"/>
      <c r="E26" s="57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>
      <c r="A27" s="57"/>
      <c r="B27" s="77"/>
      <c r="C27" s="78"/>
      <c r="D27" s="56"/>
      <c r="E27" s="57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>
      <c r="A28" s="77"/>
      <c r="B28" s="77"/>
      <c r="C28" s="78"/>
      <c r="D28" s="56"/>
      <c r="E28" s="78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>
      <c r="A29" s="57"/>
      <c r="B29" s="57"/>
      <c r="C29" s="57"/>
      <c r="D29" s="57"/>
      <c r="E29" s="57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>
      <c r="A30" s="57"/>
      <c r="B30" s="77"/>
      <c r="C30" s="78"/>
      <c r="D30" s="78"/>
      <c r="E30" s="57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>
      <c r="A31" s="57"/>
      <c r="B31" s="77"/>
      <c r="C31" s="78"/>
      <c r="D31" s="78"/>
      <c r="E31" s="57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>
      <c r="A32" s="77"/>
      <c r="B32" s="77"/>
      <c r="C32" s="78"/>
      <c r="D32" s="78"/>
      <c r="E32" s="78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>
      <c r="A33" s="77"/>
      <c r="B33" s="77"/>
      <c r="C33" s="78"/>
      <c r="D33" s="78"/>
      <c r="E33" s="57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>
      <c r="A34" s="77"/>
      <c r="B34" s="77">
        <f>SUM(B2:B33)</f>
        <v>0</v>
      </c>
      <c r="C34" s="79"/>
      <c r="D34" s="78">
        <f>SUM(D2:D33)</f>
        <v>0</v>
      </c>
      <c r="E34" s="77">
        <f>SUM(E2:E32)</f>
        <v>0</v>
      </c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3"/>
    </row>
    <row r="35">
      <c r="A35" s="80"/>
      <c r="B35" s="80" t="s">
        <v>135</v>
      </c>
      <c r="C35" s="81"/>
      <c r="D35" s="80"/>
      <c r="E35" s="80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3"/>
    </row>
    <row r="36">
      <c r="A36" s="46" t="s">
        <v>136</v>
      </c>
      <c r="B36" s="7"/>
      <c r="C36" s="82"/>
      <c r="D36" s="3"/>
      <c r="E36" s="3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3"/>
    </row>
    <row r="37">
      <c r="A37" s="3" t="s">
        <v>137</v>
      </c>
      <c r="B37" s="7"/>
      <c r="C37" s="82"/>
      <c r="D37" s="3"/>
      <c r="E37" s="3"/>
      <c r="F37" s="83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3"/>
    </row>
    <row r="38">
      <c r="A38" s="3" t="s">
        <v>138</v>
      </c>
      <c r="B38" s="84"/>
      <c r="C38" s="3" t="s">
        <v>139</v>
      </c>
      <c r="D38" s="3"/>
      <c r="E38" s="3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3"/>
    </row>
    <row r="39">
      <c r="A39" s="3"/>
      <c r="B39" s="3"/>
      <c r="C39" s="82"/>
      <c r="D39" s="3"/>
      <c r="E39" s="3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3"/>
    </row>
    <row r="40">
      <c r="A40" s="3"/>
      <c r="B40" s="46"/>
      <c r="C40" s="83"/>
      <c r="D40" s="3"/>
      <c r="E40" s="3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3"/>
    </row>
    <row r="41">
      <c r="A41" s="3"/>
      <c r="B41" s="3"/>
      <c r="C41" s="82"/>
      <c r="D41" s="3"/>
      <c r="E41" s="3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3"/>
    </row>
    <row r="42">
      <c r="A42" s="3"/>
      <c r="B42" s="3"/>
      <c r="C42" s="85"/>
      <c r="D42" s="3"/>
      <c r="E42" s="3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3"/>
    </row>
    <row r="43">
      <c r="A43" s="3"/>
      <c r="B43" s="3"/>
      <c r="C43" s="82"/>
      <c r="D43" s="3"/>
      <c r="E43" s="3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3"/>
    </row>
    <row r="44">
      <c r="A44" s="86" t="s">
        <v>140</v>
      </c>
      <c r="E44" s="3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3"/>
    </row>
    <row r="45">
      <c r="A45" s="87" t="s">
        <v>93</v>
      </c>
      <c r="B45" s="75" t="s">
        <v>94</v>
      </c>
      <c r="C45" s="76" t="s">
        <v>95</v>
      </c>
      <c r="D45" s="75" t="s">
        <v>2</v>
      </c>
      <c r="E45" s="3"/>
      <c r="F45" s="46"/>
      <c r="G45" s="46"/>
      <c r="H45" s="46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53" t="s">
        <v>141</v>
      </c>
      <c r="B46" s="88">
        <v>1.0</v>
      </c>
      <c r="C46" s="89"/>
      <c r="D46" s="89">
        <f t="shared" ref="D46:D52" si="1">B46*C46</f>
        <v>0</v>
      </c>
      <c r="E46" s="3"/>
      <c r="F46" s="46"/>
      <c r="G46" s="46"/>
      <c r="H46" s="46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53" t="s">
        <v>142</v>
      </c>
      <c r="B47" s="88">
        <v>1.0</v>
      </c>
      <c r="C47" s="89"/>
      <c r="D47" s="89">
        <f t="shared" si="1"/>
        <v>0</v>
      </c>
      <c r="E47" s="3"/>
      <c r="F47" s="46"/>
      <c r="G47" s="46"/>
      <c r="H47" s="46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53" t="s">
        <v>143</v>
      </c>
      <c r="B48" s="88">
        <v>1.0</v>
      </c>
      <c r="C48" s="89"/>
      <c r="D48" s="89">
        <f t="shared" si="1"/>
        <v>0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53" t="s">
        <v>144</v>
      </c>
      <c r="B49" s="88">
        <v>1.0</v>
      </c>
      <c r="C49" s="89"/>
      <c r="D49" s="89">
        <f t="shared" si="1"/>
        <v>0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53" t="s">
        <v>145</v>
      </c>
      <c r="B50" s="88">
        <v>1.0</v>
      </c>
      <c r="C50" s="89"/>
      <c r="D50" s="89">
        <f t="shared" si="1"/>
        <v>0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3" t="s">
        <v>146</v>
      </c>
      <c r="B51" s="88">
        <v>1.0</v>
      </c>
      <c r="C51" s="89"/>
      <c r="D51" s="89">
        <f t="shared" si="1"/>
        <v>0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53" t="s">
        <v>147</v>
      </c>
      <c r="B52" s="88">
        <v>1.0</v>
      </c>
      <c r="C52" s="89"/>
      <c r="D52" s="89">
        <f t="shared" si="1"/>
        <v>0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63"/>
      <c r="B53" s="64"/>
      <c r="C53" s="2"/>
      <c r="D53" s="65">
        <f> SUM(D46:D52)</f>
        <v>0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8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8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8" t="s">
        <v>148</v>
      </c>
      <c r="B56" s="90">
        <f>depense_bande1!D56</f>
        <v>7658965</v>
      </c>
      <c r="C56" s="8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9" t="s">
        <v>149</v>
      </c>
      <c r="B57" s="90">
        <f>depense_bande1!D76</f>
        <v>8308965</v>
      </c>
      <c r="C57" s="8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91"/>
      <c r="C58" s="8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 t="s">
        <v>150</v>
      </c>
      <c r="B59" s="92"/>
      <c r="C59" s="8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 t="s">
        <v>151</v>
      </c>
      <c r="B60" s="93"/>
      <c r="C60" s="8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8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82"/>
      <c r="C62" s="8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 t="s">
        <v>152</v>
      </c>
      <c r="B63" s="92"/>
      <c r="C63" s="8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8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82"/>
      <c r="D65" s="3"/>
      <c r="E65" s="82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8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8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94"/>
      <c r="C68" s="8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8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46"/>
      <c r="C70" s="8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46"/>
      <c r="C71" s="8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6"/>
      <c r="B72" s="46"/>
      <c r="C72" s="8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6"/>
      <c r="B73" s="46"/>
      <c r="C73" s="8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46"/>
      <c r="C74" s="8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6"/>
      <c r="B75" s="3"/>
      <c r="C75" s="8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6"/>
      <c r="B76" s="46"/>
      <c r="C76" s="8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6"/>
      <c r="B77" s="46"/>
      <c r="C77" s="8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6"/>
      <c r="B78" s="3"/>
      <c r="C78" s="8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6"/>
      <c r="B79" s="3"/>
      <c r="C79" s="8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6"/>
      <c r="B80" s="46"/>
      <c r="C80" s="8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6"/>
      <c r="B81" s="3"/>
      <c r="C81" s="8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6"/>
      <c r="B82" s="46"/>
      <c r="C82" s="8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6"/>
      <c r="B83" s="46"/>
      <c r="C83" s="8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6"/>
      <c r="B84" s="46"/>
      <c r="C84" s="8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6"/>
      <c r="B85" s="3"/>
      <c r="C85" s="8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6"/>
      <c r="B86" s="46"/>
      <c r="C86" s="8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6"/>
      <c r="B87" s="46"/>
      <c r="C87" s="8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8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6"/>
      <c r="B89" s="46"/>
      <c r="C89" s="8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6"/>
      <c r="B90" s="83"/>
      <c r="C90" s="8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6"/>
      <c r="B91" s="46"/>
      <c r="C91" s="8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6"/>
      <c r="B92" s="46"/>
      <c r="C92" s="8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6"/>
      <c r="B93" s="46"/>
      <c r="C93" s="8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6"/>
      <c r="B94" s="46"/>
      <c r="C94" s="8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6"/>
      <c r="B95" s="46"/>
      <c r="C95" s="8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6"/>
      <c r="B96" s="46"/>
      <c r="C96" s="8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6"/>
      <c r="B97" s="46"/>
      <c r="C97" s="8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6"/>
      <c r="B98" s="46"/>
      <c r="C98" s="8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6"/>
      <c r="B99" s="46"/>
      <c r="C99" s="8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6"/>
      <c r="B100" s="46"/>
      <c r="C100" s="8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6"/>
      <c r="B101" s="46"/>
      <c r="C101" s="8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6"/>
      <c r="B102" s="46"/>
      <c r="C102" s="8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6"/>
      <c r="B103" s="46"/>
      <c r="C103" s="8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6"/>
      <c r="B104" s="46"/>
      <c r="C104" s="8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8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8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8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8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8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8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8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8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8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8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8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8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8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8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8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8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8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8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8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8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8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8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8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8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8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8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8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8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8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8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8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8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8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8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8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8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8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8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8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8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8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8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8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8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8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8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8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8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8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8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8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8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8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8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8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8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8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8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8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8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8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8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8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8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8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8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8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8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8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8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8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8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8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8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8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8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8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8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8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8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8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8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8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8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8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8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8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8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8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8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8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8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8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8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8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8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8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8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8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8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8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8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8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8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8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8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8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8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8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8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8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8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8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8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8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8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8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8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8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8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8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8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8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8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8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8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8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8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8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8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8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8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8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8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8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8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8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8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8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8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8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8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8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8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8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8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8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8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8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8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8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8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8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8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8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8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8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8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8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8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8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8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8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8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8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8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8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8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8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8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8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8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8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8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8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8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8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8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8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8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8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8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8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8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8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8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8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8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8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8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8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8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8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8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8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8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8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8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8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8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8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8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8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8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8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8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8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8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8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8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8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8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8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8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8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8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8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8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8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8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8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8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8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8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8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8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8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8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8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8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8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8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8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8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8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8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8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8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8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8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8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8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8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8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8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8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8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8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8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8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8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8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8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8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8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8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8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8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8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8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8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8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8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8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8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8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8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8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8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8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8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8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8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8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8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8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8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8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8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8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8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8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8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8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8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8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8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8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8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8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8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8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8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8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8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8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8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8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8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8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8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8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8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8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8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8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8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8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8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8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8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8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8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8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8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8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8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8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8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8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8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8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8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8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8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8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8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8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8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8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8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8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8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8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8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8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8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8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8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8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8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8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8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8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8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8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8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8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8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8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8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8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8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8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8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8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8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8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8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8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8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8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8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8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8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8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8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8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8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8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8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8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8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8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8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8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8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8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8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8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8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8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8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8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8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8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8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8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8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8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8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8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8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8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8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8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8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8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8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8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8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8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8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8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8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8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8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8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8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8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8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8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8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8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8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8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8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8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8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8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8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8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8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8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8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8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8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8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8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8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8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8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8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8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8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8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8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8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8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8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8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8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8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8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8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8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8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8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8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8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8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8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8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8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8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8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8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8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8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8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8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8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8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8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8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8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8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8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8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8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8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8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8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8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8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8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8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8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8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8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8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8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8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8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8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8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8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8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8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8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8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8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8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8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8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8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8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8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8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8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8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8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8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8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8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8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8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8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8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8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8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8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8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8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8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8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8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8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8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8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8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8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8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8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8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8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8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8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8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8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8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8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8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8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8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8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8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8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8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8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8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8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8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8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8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8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8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8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8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8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8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8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8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8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8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8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8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8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8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8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8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8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8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8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8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8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8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8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8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8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8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8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8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8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8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8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8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8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8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8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8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8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8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8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8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8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8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8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8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8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8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8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8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8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8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8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8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8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8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8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8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8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8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8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8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8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8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8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8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8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8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8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8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8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8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8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8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8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8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8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8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8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8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8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8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8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8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8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8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8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8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8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8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8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8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8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8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8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8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8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8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8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8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8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8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8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8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8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8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8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8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8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8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8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8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8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8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8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8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8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8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8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8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8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8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8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8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8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8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8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8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8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8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8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8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8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8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8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8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8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8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8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8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8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8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8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8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8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8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8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8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8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8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8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8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8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8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8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8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8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8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8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8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8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8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8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8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8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8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8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8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8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8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8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8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8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8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8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8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8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8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8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8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8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8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8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8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8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8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8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8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8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8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8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8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8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8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8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8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8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8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8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8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8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8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8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8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8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8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8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8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8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8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8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8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8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8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8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8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8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8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8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8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8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8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8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8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8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8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8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8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8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8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8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8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8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8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8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8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8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8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8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8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8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8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8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8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8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8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8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8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8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8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8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8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8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8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8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8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8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8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8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8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8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8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8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8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8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8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8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8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8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8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8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8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8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</sheetData>
  <mergeCells count="2">
    <mergeCell ref="A44:D44"/>
    <mergeCell ref="A53:C53"/>
  </mergeCells>
  <drawing r:id="rId1"/>
</worksheet>
</file>